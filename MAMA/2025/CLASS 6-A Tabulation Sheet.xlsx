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CHNO ZONE\Desktop\MAMA\2025\"/>
    </mc:Choice>
  </mc:AlternateContent>
  <bookViews>
    <workbookView xWindow="0" yWindow="0" windowWidth="20490" windowHeight="7620"/>
  </bookViews>
  <sheets>
    <sheet name="Sheet1" sheetId="1" r:id="rId1"/>
    <sheet name="Sheet2" sheetId="2" r:id="rId2"/>
    <sheet name="Sheet3" sheetId="3" r:id="rId3"/>
    <sheet name="Sheet4" sheetId="4" r:id="rId4"/>
    <sheet name="Sheet5" sheetId="8" r:id="rId5"/>
    <sheet name="Sheet6" sheetId="18" r:id="rId6"/>
    <sheet name="Sheet7" sheetId="9" r:id="rId7"/>
    <sheet name="Sheet8" sheetId="11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7" i="9" l="1"/>
  <c r="N15" i="9"/>
  <c r="K29" i="9"/>
  <c r="J29" i="9"/>
  <c r="G29" i="9"/>
  <c r="F29" i="9"/>
  <c r="M28" i="9"/>
  <c r="M29" i="9" s="1"/>
  <c r="L28" i="9"/>
  <c r="L29" i="9" s="1"/>
  <c r="K28" i="9"/>
  <c r="J28" i="9"/>
  <c r="I28" i="9"/>
  <c r="I29" i="9" s="1"/>
  <c r="H28" i="9"/>
  <c r="H29" i="9" s="1"/>
  <c r="G28" i="9"/>
  <c r="F28" i="9"/>
  <c r="E28" i="9"/>
  <c r="E29" i="9" s="1"/>
  <c r="N27" i="9"/>
  <c r="N26" i="9"/>
  <c r="N28" i="9" s="1"/>
  <c r="O27" i="9" s="1"/>
  <c r="O25" i="9"/>
  <c r="N25" i="9"/>
  <c r="N24" i="9"/>
  <c r="O23" i="9"/>
  <c r="N23" i="9"/>
  <c r="K20" i="11"/>
  <c r="J20" i="11"/>
  <c r="G20" i="11"/>
  <c r="F20" i="11"/>
  <c r="M19" i="11"/>
  <c r="M20" i="11" s="1"/>
  <c r="L19" i="11"/>
  <c r="L20" i="11" s="1"/>
  <c r="K19" i="11"/>
  <c r="J19" i="11"/>
  <c r="I19" i="11"/>
  <c r="I20" i="11" s="1"/>
  <c r="H19" i="11"/>
  <c r="H20" i="11" s="1"/>
  <c r="G19" i="11"/>
  <c r="F19" i="11"/>
  <c r="E19" i="11"/>
  <c r="E20" i="11" s="1"/>
  <c r="N18" i="11"/>
  <c r="N17" i="11"/>
  <c r="N19" i="11" s="1"/>
  <c r="O18" i="11" s="1"/>
  <c r="O16" i="11"/>
  <c r="N16" i="11"/>
  <c r="N15" i="11"/>
  <c r="O14" i="11"/>
  <c r="N14" i="11"/>
  <c r="J11" i="11"/>
  <c r="F11" i="11"/>
  <c r="M10" i="11"/>
  <c r="M11" i="11" s="1"/>
  <c r="L10" i="11"/>
  <c r="L11" i="11" s="1"/>
  <c r="K10" i="11"/>
  <c r="K11" i="11" s="1"/>
  <c r="J10" i="11"/>
  <c r="I10" i="11"/>
  <c r="I11" i="11" s="1"/>
  <c r="H10" i="11"/>
  <c r="H11" i="11" s="1"/>
  <c r="G10" i="11"/>
  <c r="G11" i="11" s="1"/>
  <c r="F10" i="11"/>
  <c r="E10" i="11"/>
  <c r="E11" i="11" s="1"/>
  <c r="N9" i="11"/>
  <c r="N8" i="11"/>
  <c r="O7" i="11" s="1"/>
  <c r="N7" i="11"/>
  <c r="N6" i="11"/>
  <c r="N10" i="11" s="1"/>
  <c r="O9" i="11" s="1"/>
  <c r="N5" i="11"/>
  <c r="M28" i="11"/>
  <c r="M29" i="11" s="1"/>
  <c r="L28" i="11"/>
  <c r="L29" i="11" s="1"/>
  <c r="K28" i="11"/>
  <c r="K29" i="11" s="1"/>
  <c r="J28" i="11"/>
  <c r="J29" i="11" s="1"/>
  <c r="I28" i="11"/>
  <c r="I29" i="11" s="1"/>
  <c r="H28" i="11"/>
  <c r="H29" i="11" s="1"/>
  <c r="G28" i="11"/>
  <c r="G29" i="11" s="1"/>
  <c r="F28" i="11"/>
  <c r="F29" i="11" s="1"/>
  <c r="E28" i="11"/>
  <c r="E29" i="11" s="1"/>
  <c r="N27" i="11"/>
  <c r="N25" i="11"/>
  <c r="N28" i="11"/>
  <c r="N23" i="11"/>
  <c r="M19" i="9"/>
  <c r="M20" i="9" s="1"/>
  <c r="L19" i="9"/>
  <c r="L20" i="9" s="1"/>
  <c r="K19" i="9"/>
  <c r="K20" i="9" s="1"/>
  <c r="J19" i="9"/>
  <c r="J20" i="9" s="1"/>
  <c r="I19" i="9"/>
  <c r="I20" i="9" s="1"/>
  <c r="H19" i="9"/>
  <c r="H20" i="9" s="1"/>
  <c r="G19" i="9"/>
  <c r="G20" i="9" s="1"/>
  <c r="F19" i="9"/>
  <c r="F20" i="9" s="1"/>
  <c r="E19" i="9"/>
  <c r="E20" i="9" s="1"/>
  <c r="N18" i="9"/>
  <c r="O16" i="9"/>
  <c r="N16" i="9"/>
  <c r="N14" i="9"/>
  <c r="K11" i="9"/>
  <c r="J11" i="9"/>
  <c r="G11" i="9"/>
  <c r="F11" i="9"/>
  <c r="M10" i="9"/>
  <c r="M11" i="9" s="1"/>
  <c r="L10" i="9"/>
  <c r="L11" i="9" s="1"/>
  <c r="K10" i="9"/>
  <c r="J10" i="9"/>
  <c r="I10" i="9"/>
  <c r="I11" i="9" s="1"/>
  <c r="H10" i="9"/>
  <c r="H11" i="9" s="1"/>
  <c r="G10" i="9"/>
  <c r="F10" i="9"/>
  <c r="E10" i="9"/>
  <c r="E11" i="9" s="1"/>
  <c r="N9" i="9"/>
  <c r="N8" i="9"/>
  <c r="N10" i="9" s="1"/>
  <c r="O9" i="9" s="1"/>
  <c r="O7" i="9"/>
  <c r="N7" i="9"/>
  <c r="N6" i="9"/>
  <c r="O5" i="9"/>
  <c r="N5" i="9"/>
  <c r="J29" i="18"/>
  <c r="F29" i="18"/>
  <c r="M28" i="18"/>
  <c r="M29" i="18" s="1"/>
  <c r="L28" i="18"/>
  <c r="L29" i="18" s="1"/>
  <c r="K28" i="18"/>
  <c r="K29" i="18" s="1"/>
  <c r="J28" i="18"/>
  <c r="I28" i="18"/>
  <c r="I29" i="18" s="1"/>
  <c r="H28" i="18"/>
  <c r="H29" i="18" s="1"/>
  <c r="G28" i="18"/>
  <c r="G29" i="18" s="1"/>
  <c r="F28" i="18"/>
  <c r="E28" i="18"/>
  <c r="E29" i="18" s="1"/>
  <c r="N27" i="18"/>
  <c r="N26" i="18"/>
  <c r="O25" i="18"/>
  <c r="N25" i="18"/>
  <c r="N24" i="18"/>
  <c r="N28" i="18" s="1"/>
  <c r="O27" i="18" s="1"/>
  <c r="N23" i="18"/>
  <c r="M20" i="18"/>
  <c r="J20" i="18"/>
  <c r="I20" i="18"/>
  <c r="F20" i="18"/>
  <c r="E20" i="18"/>
  <c r="M19" i="18"/>
  <c r="L19" i="18"/>
  <c r="L20" i="18" s="1"/>
  <c r="K19" i="18"/>
  <c r="K20" i="18" s="1"/>
  <c r="J19" i="18"/>
  <c r="I19" i="18"/>
  <c r="H19" i="18"/>
  <c r="H20" i="18" s="1"/>
  <c r="G19" i="18"/>
  <c r="G20" i="18" s="1"/>
  <c r="F19" i="18"/>
  <c r="E19" i="18"/>
  <c r="N18" i="18"/>
  <c r="N17" i="18"/>
  <c r="O16" i="18" s="1"/>
  <c r="N16" i="18"/>
  <c r="N15" i="18"/>
  <c r="N19" i="18" s="1"/>
  <c r="O18" i="18" s="1"/>
  <c r="N14" i="18"/>
  <c r="L11" i="18"/>
  <c r="I11" i="18"/>
  <c r="H11" i="18"/>
  <c r="E11" i="18"/>
  <c r="M10" i="18"/>
  <c r="M11" i="18" s="1"/>
  <c r="L10" i="18"/>
  <c r="K10" i="18"/>
  <c r="K11" i="18" s="1"/>
  <c r="J10" i="18"/>
  <c r="J11" i="18" s="1"/>
  <c r="I10" i="18"/>
  <c r="H10" i="18"/>
  <c r="G10" i="18"/>
  <c r="G11" i="18" s="1"/>
  <c r="F10" i="18"/>
  <c r="F11" i="18" s="1"/>
  <c r="E10" i="18"/>
  <c r="N9" i="18"/>
  <c r="N8" i="18"/>
  <c r="O7" i="18" s="1"/>
  <c r="N7" i="18"/>
  <c r="N6" i="18"/>
  <c r="O5" i="18"/>
  <c r="N5" i="18"/>
  <c r="N26" i="8"/>
  <c r="N17" i="8"/>
  <c r="N8" i="8"/>
  <c r="N26" i="4"/>
  <c r="N17" i="4"/>
  <c r="N8" i="4"/>
  <c r="N17" i="3"/>
  <c r="N18" i="3"/>
  <c r="N9" i="3"/>
  <c r="N26" i="3"/>
  <c r="N8" i="3"/>
  <c r="N8" i="2"/>
  <c r="N17" i="2"/>
  <c r="N26" i="2"/>
  <c r="N26" i="1"/>
  <c r="N17" i="1"/>
  <c r="N8" i="1"/>
  <c r="N6" i="1"/>
  <c r="N24" i="8"/>
  <c r="N15" i="8"/>
  <c r="N6" i="8"/>
  <c r="N27" i="8"/>
  <c r="N25" i="8"/>
  <c r="N23" i="8"/>
  <c r="N18" i="8"/>
  <c r="N16" i="8"/>
  <c r="N14" i="8"/>
  <c r="N9" i="8"/>
  <c r="N7" i="8"/>
  <c r="N5" i="8"/>
  <c r="M28" i="8"/>
  <c r="M29" i="8" s="1"/>
  <c r="M19" i="8"/>
  <c r="M20" i="8" s="1"/>
  <c r="M10" i="8"/>
  <c r="M11" i="8" s="1"/>
  <c r="N18" i="4"/>
  <c r="N27" i="4"/>
  <c r="N25" i="4"/>
  <c r="N24" i="4"/>
  <c r="N23" i="4"/>
  <c r="N16" i="4"/>
  <c r="N15" i="4"/>
  <c r="N14" i="4"/>
  <c r="N9" i="4"/>
  <c r="N7" i="4"/>
  <c r="N6" i="4"/>
  <c r="N5" i="4"/>
  <c r="M28" i="4"/>
  <c r="M29" i="4" s="1"/>
  <c r="M19" i="4"/>
  <c r="M20" i="4" s="1"/>
  <c r="M10" i="4"/>
  <c r="M11" i="4" s="1"/>
  <c r="N27" i="3"/>
  <c r="N25" i="3"/>
  <c r="N24" i="3"/>
  <c r="N23" i="3"/>
  <c r="N16" i="3"/>
  <c r="N15" i="3"/>
  <c r="N14" i="3"/>
  <c r="N7" i="3"/>
  <c r="N6" i="3"/>
  <c r="N5" i="3"/>
  <c r="M28" i="3"/>
  <c r="M29" i="3" s="1"/>
  <c r="M19" i="3"/>
  <c r="M20" i="3" s="1"/>
  <c r="M10" i="3"/>
  <c r="M11" i="3" s="1"/>
  <c r="N27" i="2"/>
  <c r="N25" i="2"/>
  <c r="N24" i="2"/>
  <c r="N23" i="2"/>
  <c r="N18" i="2"/>
  <c r="N16" i="2"/>
  <c r="N15" i="2"/>
  <c r="N14" i="2"/>
  <c r="N9" i="2"/>
  <c r="N7" i="2"/>
  <c r="N6" i="2"/>
  <c r="N5" i="2"/>
  <c r="M28" i="2"/>
  <c r="M29" i="2" s="1"/>
  <c r="M19" i="2"/>
  <c r="M20" i="2" s="1"/>
  <c r="M10" i="2"/>
  <c r="M11" i="2" s="1"/>
  <c r="N27" i="1"/>
  <c r="N25" i="1"/>
  <c r="N24" i="1"/>
  <c r="N18" i="1"/>
  <c r="N16" i="1"/>
  <c r="N15" i="1"/>
  <c r="N14" i="1"/>
  <c r="N23" i="1"/>
  <c r="N9" i="1"/>
  <c r="N7" i="1"/>
  <c r="N5" i="1"/>
  <c r="M28" i="1"/>
  <c r="M29" i="1" s="1"/>
  <c r="M19" i="1"/>
  <c r="M20" i="1" s="1"/>
  <c r="M10" i="1"/>
  <c r="M11" i="1" s="1"/>
  <c r="L10" i="1"/>
  <c r="L11" i="1" s="1"/>
  <c r="L19" i="1"/>
  <c r="L20" i="1" s="1"/>
  <c r="L28" i="1"/>
  <c r="L29" i="1" s="1"/>
  <c r="O5" i="11" l="1"/>
  <c r="N19" i="9"/>
  <c r="O18" i="9" s="1"/>
  <c r="O14" i="9"/>
  <c r="O23" i="18"/>
  <c r="O14" i="18"/>
  <c r="N10" i="18"/>
  <c r="O9" i="18" s="1"/>
  <c r="L28" i="8"/>
  <c r="L29" i="8" s="1"/>
  <c r="K28" i="8"/>
  <c r="K29" i="8" s="1"/>
  <c r="J28" i="8"/>
  <c r="J29" i="8" s="1"/>
  <c r="I28" i="8"/>
  <c r="I29" i="8" s="1"/>
  <c r="H28" i="8"/>
  <c r="H29" i="8" s="1"/>
  <c r="G28" i="8"/>
  <c r="G29" i="8" s="1"/>
  <c r="F28" i="8"/>
  <c r="F29" i="8" s="1"/>
  <c r="E28" i="8"/>
  <c r="E29" i="8" s="1"/>
  <c r="O25" i="8"/>
  <c r="O23" i="8"/>
  <c r="L19" i="8"/>
  <c r="L20" i="8" s="1"/>
  <c r="K19" i="8"/>
  <c r="K20" i="8" s="1"/>
  <c r="J19" i="8"/>
  <c r="J20" i="8" s="1"/>
  <c r="I19" i="8"/>
  <c r="I20" i="8" s="1"/>
  <c r="H19" i="8"/>
  <c r="H20" i="8" s="1"/>
  <c r="G19" i="8"/>
  <c r="G20" i="8" s="1"/>
  <c r="F19" i="8"/>
  <c r="F20" i="8" s="1"/>
  <c r="E19" i="8"/>
  <c r="E20" i="8" s="1"/>
  <c r="O16" i="8"/>
  <c r="N19" i="8"/>
  <c r="O18" i="8" s="1"/>
  <c r="J11" i="8"/>
  <c r="L10" i="8"/>
  <c r="L11" i="8" s="1"/>
  <c r="K10" i="8"/>
  <c r="K11" i="8" s="1"/>
  <c r="J10" i="8"/>
  <c r="I10" i="8"/>
  <c r="I11" i="8" s="1"/>
  <c r="H10" i="8"/>
  <c r="H11" i="8" s="1"/>
  <c r="G10" i="8"/>
  <c r="G11" i="8" s="1"/>
  <c r="F10" i="8"/>
  <c r="F11" i="8" s="1"/>
  <c r="E10" i="8"/>
  <c r="E11" i="8" s="1"/>
  <c r="O7" i="8"/>
  <c r="O5" i="8"/>
  <c r="L28" i="4"/>
  <c r="L29" i="4" s="1"/>
  <c r="K28" i="4"/>
  <c r="K29" i="4" s="1"/>
  <c r="J28" i="4"/>
  <c r="J29" i="4" s="1"/>
  <c r="I28" i="4"/>
  <c r="I29" i="4" s="1"/>
  <c r="H28" i="4"/>
  <c r="H29" i="4" s="1"/>
  <c r="G28" i="4"/>
  <c r="G29" i="4" s="1"/>
  <c r="F28" i="4"/>
  <c r="F29" i="4" s="1"/>
  <c r="E28" i="4"/>
  <c r="E29" i="4" s="1"/>
  <c r="O25" i="4"/>
  <c r="O23" i="4"/>
  <c r="L19" i="4"/>
  <c r="L20" i="4" s="1"/>
  <c r="K19" i="4"/>
  <c r="K20" i="4" s="1"/>
  <c r="J19" i="4"/>
  <c r="J20" i="4" s="1"/>
  <c r="I19" i="4"/>
  <c r="I20" i="4" s="1"/>
  <c r="H19" i="4"/>
  <c r="H20" i="4" s="1"/>
  <c r="G19" i="4"/>
  <c r="G20" i="4" s="1"/>
  <c r="F19" i="4"/>
  <c r="F20" i="4" s="1"/>
  <c r="E19" i="4"/>
  <c r="E20" i="4" s="1"/>
  <c r="O16" i="4"/>
  <c r="N19" i="4"/>
  <c r="O18" i="4" s="1"/>
  <c r="L10" i="4"/>
  <c r="L11" i="4" s="1"/>
  <c r="K10" i="4"/>
  <c r="K11" i="4" s="1"/>
  <c r="J10" i="4"/>
  <c r="J11" i="4" s="1"/>
  <c r="I10" i="4"/>
  <c r="I11" i="4" s="1"/>
  <c r="H10" i="4"/>
  <c r="H11" i="4" s="1"/>
  <c r="G10" i="4"/>
  <c r="G11" i="4" s="1"/>
  <c r="F10" i="4"/>
  <c r="F11" i="4" s="1"/>
  <c r="E10" i="4"/>
  <c r="E11" i="4" s="1"/>
  <c r="O7" i="4"/>
  <c r="O5" i="4"/>
  <c r="L28" i="3"/>
  <c r="L29" i="3" s="1"/>
  <c r="K28" i="3"/>
  <c r="K29" i="3" s="1"/>
  <c r="J28" i="3"/>
  <c r="J29" i="3" s="1"/>
  <c r="I28" i="3"/>
  <c r="I29" i="3" s="1"/>
  <c r="H28" i="3"/>
  <c r="H29" i="3" s="1"/>
  <c r="G28" i="3"/>
  <c r="G29" i="3" s="1"/>
  <c r="F28" i="3"/>
  <c r="F29" i="3" s="1"/>
  <c r="E28" i="3"/>
  <c r="E29" i="3" s="1"/>
  <c r="O25" i="3"/>
  <c r="O23" i="3"/>
  <c r="L19" i="3"/>
  <c r="L20" i="3" s="1"/>
  <c r="K19" i="3"/>
  <c r="K20" i="3" s="1"/>
  <c r="J19" i="3"/>
  <c r="J20" i="3" s="1"/>
  <c r="I19" i="3"/>
  <c r="I20" i="3" s="1"/>
  <c r="H19" i="3"/>
  <c r="H20" i="3" s="1"/>
  <c r="G19" i="3"/>
  <c r="G20" i="3" s="1"/>
  <c r="F19" i="3"/>
  <c r="F20" i="3" s="1"/>
  <c r="E19" i="3"/>
  <c r="E20" i="3" s="1"/>
  <c r="O16" i="3"/>
  <c r="N19" i="3"/>
  <c r="O18" i="3" s="1"/>
  <c r="L10" i="3"/>
  <c r="L11" i="3" s="1"/>
  <c r="K10" i="3"/>
  <c r="K11" i="3" s="1"/>
  <c r="J10" i="3"/>
  <c r="J11" i="3" s="1"/>
  <c r="I10" i="3"/>
  <c r="I11" i="3" s="1"/>
  <c r="H10" i="3"/>
  <c r="H11" i="3" s="1"/>
  <c r="G10" i="3"/>
  <c r="G11" i="3" s="1"/>
  <c r="F10" i="3"/>
  <c r="F11" i="3" s="1"/>
  <c r="E10" i="3"/>
  <c r="E11" i="3" s="1"/>
  <c r="O7" i="3"/>
  <c r="O5" i="3"/>
  <c r="L28" i="2"/>
  <c r="L29" i="2" s="1"/>
  <c r="K28" i="2"/>
  <c r="K29" i="2" s="1"/>
  <c r="J28" i="2"/>
  <c r="J29" i="2" s="1"/>
  <c r="I28" i="2"/>
  <c r="I29" i="2" s="1"/>
  <c r="H28" i="2"/>
  <c r="H29" i="2" s="1"/>
  <c r="G28" i="2"/>
  <c r="G29" i="2" s="1"/>
  <c r="F28" i="2"/>
  <c r="F29" i="2" s="1"/>
  <c r="E28" i="2"/>
  <c r="E29" i="2" s="1"/>
  <c r="O25" i="2"/>
  <c r="O23" i="2"/>
  <c r="L19" i="2"/>
  <c r="L20" i="2" s="1"/>
  <c r="K19" i="2"/>
  <c r="K20" i="2" s="1"/>
  <c r="J19" i="2"/>
  <c r="J20" i="2" s="1"/>
  <c r="I19" i="2"/>
  <c r="I20" i="2" s="1"/>
  <c r="H19" i="2"/>
  <c r="H20" i="2" s="1"/>
  <c r="G19" i="2"/>
  <c r="G20" i="2" s="1"/>
  <c r="F19" i="2"/>
  <c r="F20" i="2" s="1"/>
  <c r="E19" i="2"/>
  <c r="E20" i="2" s="1"/>
  <c r="O16" i="2"/>
  <c r="N19" i="2"/>
  <c r="O18" i="2" s="1"/>
  <c r="L10" i="2"/>
  <c r="L11" i="2" s="1"/>
  <c r="K10" i="2"/>
  <c r="K11" i="2" s="1"/>
  <c r="J10" i="2"/>
  <c r="J11" i="2" s="1"/>
  <c r="I10" i="2"/>
  <c r="I11" i="2" s="1"/>
  <c r="H10" i="2"/>
  <c r="H11" i="2" s="1"/>
  <c r="G10" i="2"/>
  <c r="G11" i="2" s="1"/>
  <c r="F10" i="2"/>
  <c r="F11" i="2" s="1"/>
  <c r="E10" i="2"/>
  <c r="E11" i="2" s="1"/>
  <c r="O7" i="2"/>
  <c r="O5" i="2"/>
  <c r="K28" i="1"/>
  <c r="K29" i="1" s="1"/>
  <c r="J28" i="1"/>
  <c r="J29" i="1" s="1"/>
  <c r="I28" i="1"/>
  <c r="I29" i="1" s="1"/>
  <c r="H28" i="1"/>
  <c r="H29" i="1" s="1"/>
  <c r="G28" i="1"/>
  <c r="G29" i="1" s="1"/>
  <c r="F28" i="1"/>
  <c r="F29" i="1" s="1"/>
  <c r="E28" i="1"/>
  <c r="E29" i="1" s="1"/>
  <c r="O25" i="1"/>
  <c r="O23" i="1"/>
  <c r="K19" i="1"/>
  <c r="K20" i="1" s="1"/>
  <c r="J19" i="1"/>
  <c r="J20" i="1" s="1"/>
  <c r="I19" i="1"/>
  <c r="I20" i="1" s="1"/>
  <c r="H19" i="1"/>
  <c r="H20" i="1" s="1"/>
  <c r="G19" i="1"/>
  <c r="G20" i="1" s="1"/>
  <c r="F19" i="1"/>
  <c r="F20" i="1" s="1"/>
  <c r="E19" i="1"/>
  <c r="E20" i="1" s="1"/>
  <c r="O16" i="1"/>
  <c r="O14" i="1"/>
  <c r="O7" i="1"/>
  <c r="O5" i="1"/>
  <c r="K10" i="1"/>
  <c r="K11" i="1" s="1"/>
  <c r="J10" i="1"/>
  <c r="J11" i="1" s="1"/>
  <c r="I10" i="1"/>
  <c r="I11" i="1" s="1"/>
  <c r="H10" i="1"/>
  <c r="H11" i="1" s="1"/>
  <c r="G10" i="1"/>
  <c r="G11" i="1" s="1"/>
  <c r="F10" i="1"/>
  <c r="F11" i="1" s="1"/>
  <c r="E10" i="1"/>
  <c r="E11" i="1" s="1"/>
  <c r="O14" i="8" l="1"/>
  <c r="O14" i="4"/>
  <c r="O14" i="3"/>
  <c r="O14" i="2"/>
  <c r="N10" i="8"/>
  <c r="O9" i="8" s="1"/>
  <c r="N28" i="8"/>
  <c r="O27" i="8" s="1"/>
  <c r="N10" i="4"/>
  <c r="O9" i="4" s="1"/>
  <c r="N28" i="4"/>
  <c r="O27" i="4" s="1"/>
  <c r="N10" i="3"/>
  <c r="O9" i="3" s="1"/>
  <c r="N28" i="3"/>
  <c r="O27" i="3" s="1"/>
  <c r="N10" i="2"/>
  <c r="O9" i="2" s="1"/>
  <c r="N28" i="2"/>
  <c r="O27" i="2" s="1"/>
  <c r="N28" i="1"/>
  <c r="O27" i="1" s="1"/>
  <c r="N19" i="1"/>
  <c r="O18" i="1" s="1"/>
  <c r="N10" i="1"/>
  <c r="O9" i="1" s="1"/>
</calcChain>
</file>

<file path=xl/sharedStrings.xml><?xml version="1.0" encoding="utf-8"?>
<sst xmlns="http://schemas.openxmlformats.org/spreadsheetml/2006/main" count="710" uniqueCount="98">
  <si>
    <t>GR
#</t>
  </si>
  <si>
    <t>Roll
No.</t>
  </si>
  <si>
    <t>Student Name</t>
  </si>
  <si>
    <t>Exam.</t>
  </si>
  <si>
    <t>Eng. T</t>
  </si>
  <si>
    <t>Eng.G</t>
  </si>
  <si>
    <t>Urdu</t>
  </si>
  <si>
    <t>Maths</t>
  </si>
  <si>
    <t>Sci.</t>
  </si>
  <si>
    <t>Comp.</t>
  </si>
  <si>
    <t>SST</t>
  </si>
  <si>
    <t>Isl</t>
  </si>
  <si>
    <t>Sindhi</t>
  </si>
  <si>
    <t>Total</t>
  </si>
  <si>
    <t>%age</t>
  </si>
  <si>
    <t>Grade</t>
  </si>
  <si>
    <t>Attend.</t>
  </si>
  <si>
    <t>Remarks</t>
  </si>
  <si>
    <t>Mid Term</t>
  </si>
  <si>
    <t>Final 
Term</t>
  </si>
  <si>
    <t>A</t>
  </si>
  <si>
    <t>Result</t>
  </si>
  <si>
    <t xml:space="preserve">  Grand 
   Total
</t>
  </si>
  <si>
    <r>
      <t xml:space="preserve">                                             </t>
    </r>
    <r>
      <rPr>
        <b/>
        <sz val="26"/>
        <color theme="1"/>
        <rFont val="French Script MT"/>
        <charset val="134"/>
      </rPr>
      <t>Shamsi School</t>
    </r>
    <r>
      <rPr>
        <b/>
        <sz val="11"/>
        <color theme="1"/>
        <rFont val="Calibri"/>
        <charset val="134"/>
        <scheme val="minor"/>
      </rPr>
      <t xml:space="preserve">
                </t>
    </r>
    <r>
      <rPr>
        <b/>
        <sz val="14"/>
        <color theme="1"/>
        <rFont val="Times New Roman"/>
        <family val="1"/>
      </rPr>
      <t>Campus: Shamsi Society ( Boys' Shift )          Academic Session:  2025-2026                               Class: VI-A</t>
    </r>
  </si>
  <si>
    <t>B01300</t>
  </si>
  <si>
    <t>Abdul Rafay</t>
  </si>
  <si>
    <t>S/O</t>
  </si>
  <si>
    <t>Muhammad Ibrahim</t>
  </si>
  <si>
    <t>Abu Baker Bilal</t>
  </si>
  <si>
    <t>Muhammad Bilal Iqbal</t>
  </si>
  <si>
    <t>B01394</t>
  </si>
  <si>
    <t>B00992</t>
  </si>
  <si>
    <t>Aliyan Khan</t>
  </si>
  <si>
    <t>Zubair Khan</t>
  </si>
  <si>
    <t>B01272</t>
  </si>
  <si>
    <t>Ariz Ahmed</t>
  </si>
  <si>
    <t>Adeel Ahmed</t>
  </si>
  <si>
    <t>A+</t>
  </si>
  <si>
    <t>B</t>
  </si>
  <si>
    <t>B01383</t>
  </si>
  <si>
    <t>Daniyal Azeem</t>
  </si>
  <si>
    <t>Abdul Azeem Qureshi</t>
  </si>
  <si>
    <t>B01335</t>
  </si>
  <si>
    <t>Hamdan</t>
  </si>
  <si>
    <t>Hammad</t>
  </si>
  <si>
    <t>B01398</t>
  </si>
  <si>
    <t>Hunain Bin Farhan</t>
  </si>
  <si>
    <t>M. Farhan Hafeez Soleia</t>
  </si>
  <si>
    <t>PP22122</t>
  </si>
  <si>
    <t>Huzaifa Nasir</t>
  </si>
  <si>
    <t>Nasir Riaz</t>
  </si>
  <si>
    <t>P222400</t>
  </si>
  <si>
    <t>Shaikh Muhammad Umair</t>
  </si>
  <si>
    <t>Muhammad Affan Shaikh</t>
  </si>
  <si>
    <t>B01387</t>
  </si>
  <si>
    <t>Muhammad Eashan Anjum</t>
  </si>
  <si>
    <t>Anjum Hussain</t>
  </si>
  <si>
    <t>B01307</t>
  </si>
  <si>
    <t>Muhammad Faizan Maqsood</t>
  </si>
  <si>
    <t>Atif Masood</t>
  </si>
  <si>
    <t>B01032</t>
  </si>
  <si>
    <t>Muhammad Hashir Ansari</t>
  </si>
  <si>
    <t>S/0</t>
  </si>
  <si>
    <t>Muhammad Hammad Ansari</t>
  </si>
  <si>
    <t>B01381</t>
  </si>
  <si>
    <t>P222231</t>
  </si>
  <si>
    <t>Muhammad Sadique</t>
  </si>
  <si>
    <t>Abdul Mannan</t>
  </si>
  <si>
    <t>Muhammad Umer</t>
  </si>
  <si>
    <t>Hassan Ali</t>
  </si>
  <si>
    <t>B01408</t>
  </si>
  <si>
    <t>Najeeb-Ullah</t>
  </si>
  <si>
    <t>Muhammad Ullah</t>
  </si>
  <si>
    <t>B01380</t>
  </si>
  <si>
    <t>B01086</t>
  </si>
  <si>
    <t>B01392</t>
  </si>
  <si>
    <t>Osaid UR Rehman</t>
  </si>
  <si>
    <t>Sohaib UR Rehman</t>
  </si>
  <si>
    <t>Syed Awais Asif</t>
  </si>
  <si>
    <t>Asif Hasnain</t>
  </si>
  <si>
    <t>Syed Muhammad Aoun Hussain</t>
  </si>
  <si>
    <t>Syed Ahsan Hussain</t>
  </si>
  <si>
    <t>B01321</t>
  </si>
  <si>
    <t>P222224</t>
  </si>
  <si>
    <t>B01341</t>
  </si>
  <si>
    <t>Muhammad Yousuf</t>
  </si>
  <si>
    <t>Syed Muhammad Shah</t>
  </si>
  <si>
    <t>Syed Irfan Haider</t>
  </si>
  <si>
    <t>Syed Muhammad Hussain Raza</t>
  </si>
  <si>
    <t>Syed Sajjad Hussain</t>
  </si>
  <si>
    <t>Syed Muhammad Ayan Hussain</t>
  </si>
  <si>
    <t>PP22168</t>
  </si>
  <si>
    <t>Zuraiz Mustafa</t>
  </si>
  <si>
    <t>Ather Mustafa</t>
  </si>
  <si>
    <t>B01393</t>
  </si>
  <si>
    <t>Sheraz Saleem Khan</t>
  </si>
  <si>
    <t>C</t>
  </si>
  <si>
    <t>A++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</si>
</sst>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French Script MT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u val="double"/>
      <sz val="12"/>
      <color theme="1"/>
      <name val="Times New Roman"/>
      <family val="1"/>
    </font>
    <font>
      <b/>
      <u/>
      <sz val="11"/>
      <color theme="1"/>
      <name val="Times New Roman"/>
      <family val="1"/>
    </font>
    <font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double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6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9" fontId="10" fillId="0" borderId="14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0" fontId="0" fillId="0" borderId="0" xfId="0" applyNumberFormat="1"/>
    <xf numFmtId="9" fontId="0" fillId="0" borderId="0" xfId="1" applyFont="1"/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9" fontId="10" fillId="0" borderId="2" xfId="1" applyFont="1" applyBorder="1" applyAlignment="1">
      <alignment horizontal="center" vertical="center"/>
    </xf>
    <xf numFmtId="9" fontId="10" fillId="0" borderId="8" xfId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9" fontId="10" fillId="0" borderId="2" xfId="1" applyFont="1" applyFill="1" applyBorder="1" applyAlignment="1">
      <alignment horizontal="center" vertical="center"/>
    </xf>
    <xf numFmtId="9" fontId="10" fillId="0" borderId="11" xfId="1" applyFont="1" applyFill="1" applyBorder="1" applyAlignment="1">
      <alignment horizontal="center" vertical="center"/>
    </xf>
    <xf numFmtId="9" fontId="10" fillId="0" borderId="14" xfId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textRotation="45"/>
    </xf>
    <xf numFmtId="0" fontId="12" fillId="0" borderId="11" xfId="0" applyFont="1" applyFill="1" applyBorder="1" applyAlignment="1">
      <alignment horizontal="center" vertical="center" textRotation="45"/>
    </xf>
    <xf numFmtId="0" fontId="12" fillId="0" borderId="14" xfId="0" applyFont="1" applyFill="1" applyBorder="1" applyAlignment="1">
      <alignment horizontal="center" vertical="center" textRotation="45"/>
    </xf>
    <xf numFmtId="0" fontId="7" fillId="0" borderId="6" xfId="0" applyFont="1" applyBorder="1" applyAlignment="1">
      <alignment horizontal="center" vertical="center" textRotation="90"/>
    </xf>
    <xf numFmtId="0" fontId="7" fillId="0" borderId="10" xfId="0" applyFont="1" applyBorder="1" applyAlignment="1">
      <alignment horizontal="center" vertical="center" textRotation="90"/>
    </xf>
    <xf numFmtId="0" fontId="7" fillId="0" borderId="13" xfId="0" applyFont="1" applyBorder="1" applyAlignment="1">
      <alignment horizontal="center" vertical="center" textRotation="90"/>
    </xf>
    <xf numFmtId="0" fontId="7" fillId="0" borderId="7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9" fontId="10" fillId="0" borderId="7" xfId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textRotation="90" wrapText="1"/>
    </xf>
    <xf numFmtId="0" fontId="7" fillId="0" borderId="10" xfId="0" applyFont="1" applyBorder="1" applyAlignment="1">
      <alignment horizontal="center" vertical="center" textRotation="90" wrapText="1"/>
    </xf>
    <xf numFmtId="0" fontId="7" fillId="0" borderId="13" xfId="0" applyFont="1" applyBorder="1" applyAlignment="1">
      <alignment horizontal="center" vertical="center" textRotation="90" wrapText="1"/>
    </xf>
    <xf numFmtId="0" fontId="8" fillId="2" borderId="1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vertical="top" wrapText="1"/>
    </xf>
    <xf numFmtId="0" fontId="6" fillId="0" borderId="19" xfId="0" applyFont="1" applyBorder="1" applyAlignment="1">
      <alignment vertical="top" wrapText="1"/>
    </xf>
    <xf numFmtId="0" fontId="7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0" fontId="1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56091</xdr:colOff>
      <xdr:row>0</xdr:row>
      <xdr:rowOff>47626</xdr:rowOff>
    </xdr:from>
    <xdr:to>
      <xdr:col>1</xdr:col>
      <xdr:colOff>342900</xdr:colOff>
      <xdr:row>2</xdr:row>
      <xdr:rowOff>286938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9331ED-D904-4A02-B636-8F3391093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91" y="47626"/>
          <a:ext cx="563034" cy="6203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56091</xdr:colOff>
      <xdr:row>0</xdr:row>
      <xdr:rowOff>47626</xdr:rowOff>
    </xdr:from>
    <xdr:to>
      <xdr:col>1</xdr:col>
      <xdr:colOff>342900</xdr:colOff>
      <xdr:row>2</xdr:row>
      <xdr:rowOff>286938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9331ED-D904-4A02-B636-8F3391093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91" y="47626"/>
          <a:ext cx="563034" cy="6203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56091</xdr:colOff>
      <xdr:row>0</xdr:row>
      <xdr:rowOff>47626</xdr:rowOff>
    </xdr:from>
    <xdr:to>
      <xdr:col>1</xdr:col>
      <xdr:colOff>342900</xdr:colOff>
      <xdr:row>3</xdr:row>
      <xdr:rowOff>1188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9331ED-D904-4A02-B636-8F3391093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91" y="47626"/>
          <a:ext cx="563034" cy="6203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56091</xdr:colOff>
      <xdr:row>0</xdr:row>
      <xdr:rowOff>47626</xdr:rowOff>
    </xdr:from>
    <xdr:to>
      <xdr:col>1</xdr:col>
      <xdr:colOff>342900</xdr:colOff>
      <xdr:row>2</xdr:row>
      <xdr:rowOff>286938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9331ED-D904-4A02-B636-8F3391093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91" y="47626"/>
          <a:ext cx="563034" cy="6203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179916</xdr:colOff>
      <xdr:row>0</xdr:row>
      <xdr:rowOff>57151</xdr:rowOff>
    </xdr:from>
    <xdr:to>
      <xdr:col>1</xdr:col>
      <xdr:colOff>260349</xdr:colOff>
      <xdr:row>2</xdr:row>
      <xdr:rowOff>296463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9331ED-D904-4A02-B636-8F3391093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916" y="57151"/>
          <a:ext cx="356658" cy="620312"/>
        </a:xfrm>
        <a:prstGeom prst="rect">
          <a:avLst/>
        </a:prstGeom>
      </xdr:spPr>
    </xdr:pic>
    <xdr:clientData/>
  </xdr:twoCellAnchor>
  <xdr:twoCellAnchor editAs="oneCell">
    <xdr:from>
      <xdr:col>0</xdr:col>
      <xdr:colOff>37041</xdr:colOff>
      <xdr:row>0</xdr:row>
      <xdr:rowOff>57151</xdr:rowOff>
    </xdr:from>
    <xdr:to>
      <xdr:col>1</xdr:col>
      <xdr:colOff>323850</xdr:colOff>
      <xdr:row>2</xdr:row>
      <xdr:rowOff>296463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9331ED-D904-4A02-B636-8F3391093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41" y="57151"/>
          <a:ext cx="563034" cy="6203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179916</xdr:colOff>
      <xdr:row>0</xdr:row>
      <xdr:rowOff>57151</xdr:rowOff>
    </xdr:from>
    <xdr:to>
      <xdr:col>1</xdr:col>
      <xdr:colOff>260349</xdr:colOff>
      <xdr:row>2</xdr:row>
      <xdr:rowOff>296463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9331ED-D904-4A02-B636-8F3391093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916" y="57151"/>
          <a:ext cx="356658" cy="620312"/>
        </a:xfrm>
        <a:prstGeom prst="rect">
          <a:avLst/>
        </a:prstGeom>
      </xdr:spPr>
    </xdr:pic>
    <xdr:clientData/>
  </xdr:twoCellAnchor>
  <xdr:twoCellAnchor editAs="oneCell">
    <xdr:from>
      <xdr:col>0</xdr:col>
      <xdr:colOff>37041</xdr:colOff>
      <xdr:row>0</xdr:row>
      <xdr:rowOff>57151</xdr:rowOff>
    </xdr:from>
    <xdr:to>
      <xdr:col>1</xdr:col>
      <xdr:colOff>323850</xdr:colOff>
      <xdr:row>2</xdr:row>
      <xdr:rowOff>296463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9331ED-D904-4A02-B636-8F3391093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41" y="57151"/>
          <a:ext cx="563034" cy="62031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179916</xdr:colOff>
      <xdr:row>0</xdr:row>
      <xdr:rowOff>57151</xdr:rowOff>
    </xdr:from>
    <xdr:to>
      <xdr:col>1</xdr:col>
      <xdr:colOff>260349</xdr:colOff>
      <xdr:row>2</xdr:row>
      <xdr:rowOff>296463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9331ED-D904-4A02-B636-8F3391093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916" y="57151"/>
          <a:ext cx="356658" cy="620312"/>
        </a:xfrm>
        <a:prstGeom prst="rect">
          <a:avLst/>
        </a:prstGeom>
      </xdr:spPr>
    </xdr:pic>
    <xdr:clientData/>
  </xdr:twoCellAnchor>
  <xdr:twoCellAnchor editAs="oneCell">
    <xdr:from>
      <xdr:col>0</xdr:col>
      <xdr:colOff>37041</xdr:colOff>
      <xdr:row>0</xdr:row>
      <xdr:rowOff>57151</xdr:rowOff>
    </xdr:from>
    <xdr:to>
      <xdr:col>1</xdr:col>
      <xdr:colOff>323850</xdr:colOff>
      <xdr:row>2</xdr:row>
      <xdr:rowOff>296463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9331ED-D904-4A02-B636-8F3391093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41" y="57151"/>
          <a:ext cx="563034" cy="6203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179916</xdr:colOff>
      <xdr:row>0</xdr:row>
      <xdr:rowOff>57151</xdr:rowOff>
    </xdr:from>
    <xdr:to>
      <xdr:col>1</xdr:col>
      <xdr:colOff>260349</xdr:colOff>
      <xdr:row>2</xdr:row>
      <xdr:rowOff>296463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9331ED-D904-4A02-B636-8F3391093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916" y="57151"/>
          <a:ext cx="690033" cy="601262"/>
        </a:xfrm>
        <a:prstGeom prst="rect">
          <a:avLst/>
        </a:prstGeom>
      </xdr:spPr>
    </xdr:pic>
    <xdr:clientData/>
  </xdr:twoCellAnchor>
  <xdr:twoCellAnchor editAs="oneCell">
    <xdr:from>
      <xdr:col>0</xdr:col>
      <xdr:colOff>37041</xdr:colOff>
      <xdr:row>0</xdr:row>
      <xdr:rowOff>57151</xdr:rowOff>
    </xdr:from>
    <xdr:to>
      <xdr:col>1</xdr:col>
      <xdr:colOff>323850</xdr:colOff>
      <xdr:row>2</xdr:row>
      <xdr:rowOff>296463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9331ED-D904-4A02-B636-8F3391093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41" y="57151"/>
          <a:ext cx="563034" cy="6203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0"/>
  <sheetViews>
    <sheetView tabSelected="1" view="pageBreakPreview" zoomScale="85" zoomScaleNormal="130" zoomScaleSheetLayoutView="85" workbookViewId="0">
      <selection activeCell="P33" sqref="P33"/>
    </sheetView>
  </sheetViews>
  <sheetFormatPr defaultRowHeight="15"/>
  <cols>
    <col min="1" max="1" width="4.140625" customWidth="1"/>
    <col min="2" max="2" width="5.85546875" customWidth="1"/>
    <col min="3" max="3" width="16.140625" customWidth="1"/>
    <col min="5" max="5" width="6.85546875" customWidth="1"/>
    <col min="6" max="6" width="6" customWidth="1"/>
    <col min="7" max="7" width="7" customWidth="1"/>
    <col min="8" max="8" width="7.28515625" customWidth="1"/>
    <col min="9" max="9" width="8.42578125" customWidth="1"/>
    <col min="10" max="10" width="5.5703125" customWidth="1"/>
    <col min="11" max="11" width="7.85546875" customWidth="1"/>
    <col min="12" max="12" width="5.42578125" customWidth="1"/>
    <col min="13" max="13" width="6.42578125" customWidth="1"/>
    <col min="14" max="14" width="7.42578125" customWidth="1"/>
    <col min="15" max="15" width="6" customWidth="1"/>
    <col min="16" max="16" width="6.28515625" customWidth="1"/>
    <col min="17" max="17" width="8" customWidth="1"/>
    <col min="18" max="18" width="10.7109375" customWidth="1"/>
  </cols>
  <sheetData>
    <row r="1" spans="1:18" ht="15" customHeight="1">
      <c r="A1" s="50" t="s">
        <v>23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</row>
    <row r="3" spans="1:18" ht="25.5" customHeight="1" thickBot="1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8" ht="29.25" thickBot="1">
      <c r="A4" s="1" t="s">
        <v>0</v>
      </c>
      <c r="B4" s="2" t="s">
        <v>1</v>
      </c>
      <c r="C4" s="56" t="s">
        <v>2</v>
      </c>
      <c r="D4" s="3" t="s">
        <v>3</v>
      </c>
      <c r="E4" s="3" t="s">
        <v>4</v>
      </c>
      <c r="F4" s="3" t="s">
        <v>6</v>
      </c>
      <c r="G4" s="3" t="s">
        <v>7</v>
      </c>
      <c r="H4" s="4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5</v>
      </c>
      <c r="N4" s="3" t="s">
        <v>13</v>
      </c>
      <c r="O4" s="5" t="s">
        <v>14</v>
      </c>
      <c r="P4" s="5" t="s">
        <v>15</v>
      </c>
      <c r="Q4" s="5" t="s">
        <v>16</v>
      </c>
      <c r="R4" s="6" t="s">
        <v>17</v>
      </c>
    </row>
    <row r="5" spans="1:18" ht="15.75" thickTop="1">
      <c r="A5" s="53" t="s">
        <v>24</v>
      </c>
      <c r="B5" s="53">
        <v>601</v>
      </c>
      <c r="C5" s="60" t="s">
        <v>25</v>
      </c>
      <c r="D5" s="18" t="s">
        <v>18</v>
      </c>
      <c r="E5" s="7">
        <v>75</v>
      </c>
      <c r="F5" s="7">
        <v>75</v>
      </c>
      <c r="G5" s="7">
        <v>100</v>
      </c>
      <c r="H5" s="7">
        <v>100</v>
      </c>
      <c r="I5" s="7">
        <v>100</v>
      </c>
      <c r="J5" s="7">
        <v>75</v>
      </c>
      <c r="K5" s="7">
        <v>75</v>
      </c>
      <c r="L5" s="7">
        <v>75</v>
      </c>
      <c r="M5" s="9">
        <v>75</v>
      </c>
      <c r="N5" s="7">
        <f>SUM(E5:M5)</f>
        <v>750</v>
      </c>
      <c r="O5" s="47">
        <f>N6/750</f>
        <v>0.628</v>
      </c>
      <c r="P5" s="48" t="s">
        <v>38</v>
      </c>
      <c r="Q5" s="18"/>
      <c r="R5" s="20"/>
    </row>
    <row r="6" spans="1:18">
      <c r="A6" s="54"/>
      <c r="B6" s="54"/>
      <c r="C6" s="46"/>
      <c r="D6" s="19"/>
      <c r="E6" s="10">
        <v>39</v>
      </c>
      <c r="F6" s="10">
        <v>38</v>
      </c>
      <c r="G6" s="10">
        <v>75</v>
      </c>
      <c r="H6" s="10">
        <v>64</v>
      </c>
      <c r="I6" s="10">
        <v>78</v>
      </c>
      <c r="J6" s="10">
        <v>25</v>
      </c>
      <c r="K6" s="10">
        <v>53</v>
      </c>
      <c r="L6" s="10">
        <v>52</v>
      </c>
      <c r="M6" s="10">
        <v>47</v>
      </c>
      <c r="N6" s="10">
        <f>SUM(E6:M6)</f>
        <v>471</v>
      </c>
      <c r="O6" s="26"/>
      <c r="P6" s="28"/>
      <c r="Q6" s="19"/>
      <c r="R6" s="21"/>
    </row>
    <row r="7" spans="1:18">
      <c r="A7" s="54"/>
      <c r="B7" s="54"/>
      <c r="C7" s="59"/>
      <c r="D7" s="23" t="s">
        <v>19</v>
      </c>
      <c r="E7" s="11">
        <v>75</v>
      </c>
      <c r="F7" s="12">
        <v>75</v>
      </c>
      <c r="G7" s="12">
        <v>100</v>
      </c>
      <c r="H7" s="12">
        <v>100</v>
      </c>
      <c r="I7" s="12">
        <v>100</v>
      </c>
      <c r="J7" s="12">
        <v>75</v>
      </c>
      <c r="K7" s="12">
        <v>75</v>
      </c>
      <c r="L7" s="12">
        <v>75</v>
      </c>
      <c r="M7" s="12">
        <v>75</v>
      </c>
      <c r="N7" s="7">
        <f>SUM(E7:M7)</f>
        <v>750</v>
      </c>
      <c r="O7" s="25">
        <f>N8/750</f>
        <v>0.61733333333333329</v>
      </c>
      <c r="P7" s="27" t="s">
        <v>38</v>
      </c>
      <c r="Q7" s="29" t="s">
        <v>21</v>
      </c>
      <c r="R7" s="21"/>
    </row>
    <row r="8" spans="1:18">
      <c r="A8" s="54"/>
      <c r="B8" s="54"/>
      <c r="C8" s="58" t="s">
        <v>26</v>
      </c>
      <c r="D8" s="24"/>
      <c r="E8" s="10">
        <v>40</v>
      </c>
      <c r="F8" s="10">
        <v>51</v>
      </c>
      <c r="G8" s="10">
        <v>75</v>
      </c>
      <c r="H8" s="10">
        <v>62</v>
      </c>
      <c r="I8" s="10">
        <v>50</v>
      </c>
      <c r="J8" s="10">
        <v>51</v>
      </c>
      <c r="K8" s="10">
        <v>42</v>
      </c>
      <c r="L8" s="10">
        <v>38</v>
      </c>
      <c r="M8" s="10">
        <v>54</v>
      </c>
      <c r="N8" s="10">
        <f>SUM(E8:M8)</f>
        <v>463</v>
      </c>
      <c r="O8" s="26"/>
      <c r="P8" s="28"/>
      <c r="Q8" s="30"/>
      <c r="R8" s="21"/>
    </row>
    <row r="9" spans="1:18" ht="15" customHeight="1">
      <c r="A9" s="54"/>
      <c r="B9" s="54"/>
      <c r="C9" s="60" t="s">
        <v>27</v>
      </c>
      <c r="D9" s="31" t="s">
        <v>22</v>
      </c>
      <c r="E9" s="11">
        <v>150</v>
      </c>
      <c r="F9" s="12">
        <v>150</v>
      </c>
      <c r="G9" s="12">
        <v>200</v>
      </c>
      <c r="H9" s="12">
        <v>200</v>
      </c>
      <c r="I9" s="12">
        <v>200</v>
      </c>
      <c r="J9" s="12">
        <v>150</v>
      </c>
      <c r="K9" s="12">
        <v>150</v>
      </c>
      <c r="L9" s="12">
        <v>150</v>
      </c>
      <c r="M9" s="12">
        <v>150</v>
      </c>
      <c r="N9" s="7">
        <f>SUM(E9:M9)</f>
        <v>1500</v>
      </c>
      <c r="O9" s="33">
        <f>N10/1500</f>
        <v>0.6226666666666667</v>
      </c>
      <c r="P9" s="36" t="s">
        <v>38</v>
      </c>
      <c r="Q9" s="39"/>
      <c r="R9" s="21"/>
    </row>
    <row r="10" spans="1:18">
      <c r="A10" s="54"/>
      <c r="B10" s="54"/>
      <c r="C10" s="46"/>
      <c r="D10" s="32"/>
      <c r="E10" s="10">
        <f>SUM(E8,E6)</f>
        <v>79</v>
      </c>
      <c r="F10" s="10">
        <f t="shared" ref="F10:N10" si="0">SUM(F6,F8)</f>
        <v>89</v>
      </c>
      <c r="G10" s="10">
        <f t="shared" si="0"/>
        <v>150</v>
      </c>
      <c r="H10" s="10">
        <f t="shared" si="0"/>
        <v>126</v>
      </c>
      <c r="I10" s="10">
        <f t="shared" si="0"/>
        <v>128</v>
      </c>
      <c r="J10" s="10">
        <f t="shared" si="0"/>
        <v>76</v>
      </c>
      <c r="K10" s="10">
        <f t="shared" si="0"/>
        <v>95</v>
      </c>
      <c r="L10" s="10">
        <f t="shared" si="0"/>
        <v>90</v>
      </c>
      <c r="M10" s="10">
        <f t="shared" ref="M10" si="1">SUM(M6,M8)</f>
        <v>101</v>
      </c>
      <c r="N10" s="27">
        <f t="shared" si="0"/>
        <v>934</v>
      </c>
      <c r="O10" s="34"/>
      <c r="P10" s="37"/>
      <c r="Q10" s="40"/>
      <c r="R10" s="21"/>
    </row>
    <row r="11" spans="1:18" ht="15.75" thickBot="1">
      <c r="A11" s="55"/>
      <c r="B11" s="55"/>
      <c r="C11" s="59"/>
      <c r="D11" s="13" t="s">
        <v>14</v>
      </c>
      <c r="E11" s="14">
        <f>E10 / E9</f>
        <v>0.52666666666666662</v>
      </c>
      <c r="F11" s="14">
        <f t="shared" ref="F11:L11" si="2">F10 / F9</f>
        <v>0.59333333333333338</v>
      </c>
      <c r="G11" s="14">
        <f t="shared" si="2"/>
        <v>0.75</v>
      </c>
      <c r="H11" s="14">
        <f t="shared" si="2"/>
        <v>0.63</v>
      </c>
      <c r="I11" s="14">
        <f t="shared" si="2"/>
        <v>0.64</v>
      </c>
      <c r="J11" s="14">
        <f t="shared" si="2"/>
        <v>0.50666666666666671</v>
      </c>
      <c r="K11" s="14">
        <f t="shared" si="2"/>
        <v>0.6333333333333333</v>
      </c>
      <c r="L11" s="14">
        <f t="shared" si="2"/>
        <v>0.6</v>
      </c>
      <c r="M11" s="14">
        <f t="shared" ref="M11" si="3">M10 / M9</f>
        <v>0.67333333333333334</v>
      </c>
      <c r="N11" s="49"/>
      <c r="O11" s="35"/>
      <c r="P11" s="38"/>
      <c r="Q11" s="41"/>
      <c r="R11" s="22"/>
    </row>
    <row r="12" spans="1:18" ht="15.75" thickBo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spans="1:18" ht="29.25" thickBot="1">
      <c r="A13" s="1" t="s">
        <v>0</v>
      </c>
      <c r="B13" s="2" t="s">
        <v>1</v>
      </c>
      <c r="C13" s="3" t="s">
        <v>2</v>
      </c>
      <c r="D13" s="3" t="s">
        <v>3</v>
      </c>
      <c r="E13" s="3" t="s">
        <v>4</v>
      </c>
      <c r="F13" s="3" t="s">
        <v>6</v>
      </c>
      <c r="G13" s="3" t="s">
        <v>7</v>
      </c>
      <c r="H13" s="4" t="s">
        <v>8</v>
      </c>
      <c r="I13" s="3" t="s">
        <v>9</v>
      </c>
      <c r="J13" s="3" t="s">
        <v>10</v>
      </c>
      <c r="K13" s="3" t="s">
        <v>11</v>
      </c>
      <c r="L13" s="3" t="s">
        <v>12</v>
      </c>
      <c r="M13" s="3" t="s">
        <v>5</v>
      </c>
      <c r="N13" s="3" t="s">
        <v>13</v>
      </c>
      <c r="O13" s="5" t="s">
        <v>14</v>
      </c>
      <c r="P13" s="5" t="s">
        <v>15</v>
      </c>
      <c r="Q13" s="5" t="s">
        <v>16</v>
      </c>
      <c r="R13" s="6" t="s">
        <v>17</v>
      </c>
    </row>
    <row r="14" spans="1:18" ht="15" customHeight="1" thickTop="1">
      <c r="A14" s="42" t="s">
        <v>30</v>
      </c>
      <c r="B14" s="53">
        <v>602</v>
      </c>
      <c r="C14" s="45" t="s">
        <v>28</v>
      </c>
      <c r="D14" s="18" t="s">
        <v>18</v>
      </c>
      <c r="E14" s="7">
        <v>75</v>
      </c>
      <c r="F14" s="7">
        <v>75</v>
      </c>
      <c r="G14" s="7">
        <v>100</v>
      </c>
      <c r="H14" s="7">
        <v>100</v>
      </c>
      <c r="I14" s="7">
        <v>100</v>
      </c>
      <c r="J14" s="7">
        <v>75</v>
      </c>
      <c r="K14" s="7">
        <v>75</v>
      </c>
      <c r="L14" s="7">
        <v>75</v>
      </c>
      <c r="M14" s="9">
        <v>75</v>
      </c>
      <c r="N14" s="7">
        <f>SUM(E14:M14)</f>
        <v>750</v>
      </c>
      <c r="O14" s="47">
        <f>N15/750</f>
        <v>0.77200000000000002</v>
      </c>
      <c r="P14" s="48" t="s">
        <v>20</v>
      </c>
      <c r="Q14" s="18"/>
      <c r="R14" s="20"/>
    </row>
    <row r="15" spans="1:18">
      <c r="A15" s="43"/>
      <c r="B15" s="54"/>
      <c r="C15" s="46"/>
      <c r="D15" s="19"/>
      <c r="E15" s="10">
        <v>54</v>
      </c>
      <c r="F15" s="10">
        <v>46</v>
      </c>
      <c r="G15" s="10">
        <v>89</v>
      </c>
      <c r="H15" s="10">
        <v>86</v>
      </c>
      <c r="I15" s="10">
        <v>85</v>
      </c>
      <c r="J15" s="10">
        <v>56</v>
      </c>
      <c r="K15" s="10">
        <v>58</v>
      </c>
      <c r="L15" s="10">
        <v>42</v>
      </c>
      <c r="M15" s="10">
        <v>63</v>
      </c>
      <c r="N15" s="10">
        <f>SUM(E15:M15)</f>
        <v>579</v>
      </c>
      <c r="O15" s="26"/>
      <c r="P15" s="28"/>
      <c r="Q15" s="19"/>
      <c r="R15" s="21"/>
    </row>
    <row r="16" spans="1:18" ht="14.45" customHeight="1">
      <c r="A16" s="43"/>
      <c r="B16" s="54"/>
      <c r="C16" s="59"/>
      <c r="D16" s="23" t="s">
        <v>19</v>
      </c>
      <c r="E16" s="11">
        <v>75</v>
      </c>
      <c r="F16" s="12">
        <v>75</v>
      </c>
      <c r="G16" s="12">
        <v>100</v>
      </c>
      <c r="H16" s="12">
        <v>100</v>
      </c>
      <c r="I16" s="12">
        <v>100</v>
      </c>
      <c r="J16" s="12">
        <v>75</v>
      </c>
      <c r="K16" s="12">
        <v>75</v>
      </c>
      <c r="L16" s="12">
        <v>75</v>
      </c>
      <c r="M16" s="12">
        <v>75</v>
      </c>
      <c r="N16" s="7">
        <f>SUM(E16:M16)</f>
        <v>750</v>
      </c>
      <c r="O16" s="25">
        <f>N17/750</f>
        <v>0.76666666666666672</v>
      </c>
      <c r="P16" s="27" t="s">
        <v>20</v>
      </c>
      <c r="Q16" s="29" t="s">
        <v>21</v>
      </c>
      <c r="R16" s="21"/>
    </row>
    <row r="17" spans="1:18" ht="14.45" customHeight="1">
      <c r="A17" s="43"/>
      <c r="B17" s="54"/>
      <c r="C17" s="58" t="s">
        <v>26</v>
      </c>
      <c r="D17" s="24"/>
      <c r="E17" s="10">
        <v>61</v>
      </c>
      <c r="F17" s="10">
        <v>55</v>
      </c>
      <c r="G17" s="10">
        <v>85</v>
      </c>
      <c r="H17" s="10">
        <v>70</v>
      </c>
      <c r="I17" s="10">
        <v>78</v>
      </c>
      <c r="J17" s="10">
        <v>59</v>
      </c>
      <c r="K17" s="10">
        <v>58</v>
      </c>
      <c r="L17" s="10">
        <v>44</v>
      </c>
      <c r="M17" s="10">
        <v>65</v>
      </c>
      <c r="N17" s="10">
        <f>SUM(E17:M17)</f>
        <v>575</v>
      </c>
      <c r="O17" s="26"/>
      <c r="P17" s="28"/>
      <c r="Q17" s="30"/>
      <c r="R17" s="21"/>
    </row>
    <row r="18" spans="1:18" ht="14.45" customHeight="1">
      <c r="A18" s="43"/>
      <c r="B18" s="54"/>
      <c r="C18" s="60" t="s">
        <v>29</v>
      </c>
      <c r="D18" s="31" t="s">
        <v>22</v>
      </c>
      <c r="E18" s="11">
        <v>150</v>
      </c>
      <c r="F18" s="12">
        <v>150</v>
      </c>
      <c r="G18" s="12">
        <v>200</v>
      </c>
      <c r="H18" s="12">
        <v>200</v>
      </c>
      <c r="I18" s="12">
        <v>200</v>
      </c>
      <c r="J18" s="12">
        <v>150</v>
      </c>
      <c r="K18" s="12">
        <v>150</v>
      </c>
      <c r="L18" s="12">
        <v>150</v>
      </c>
      <c r="M18" s="12">
        <v>150</v>
      </c>
      <c r="N18" s="7">
        <f>SUM(E18:M18)</f>
        <v>1500</v>
      </c>
      <c r="O18" s="33">
        <f>N19/1500</f>
        <v>0.76933333333333331</v>
      </c>
      <c r="P18" s="36" t="s">
        <v>20</v>
      </c>
      <c r="Q18" s="39"/>
      <c r="R18" s="21"/>
    </row>
    <row r="19" spans="1:18">
      <c r="A19" s="43"/>
      <c r="B19" s="54"/>
      <c r="C19" s="46"/>
      <c r="D19" s="32"/>
      <c r="E19" s="10">
        <f>SUM(E17,E15)</f>
        <v>115</v>
      </c>
      <c r="F19" s="10">
        <f t="shared" ref="F19:N19" si="4">SUM(F15,F17)</f>
        <v>101</v>
      </c>
      <c r="G19" s="10">
        <f t="shared" si="4"/>
        <v>174</v>
      </c>
      <c r="H19" s="10">
        <f t="shared" si="4"/>
        <v>156</v>
      </c>
      <c r="I19" s="10">
        <f t="shared" si="4"/>
        <v>163</v>
      </c>
      <c r="J19" s="10">
        <f t="shared" si="4"/>
        <v>115</v>
      </c>
      <c r="K19" s="10">
        <f t="shared" si="4"/>
        <v>116</v>
      </c>
      <c r="L19" s="10">
        <f t="shared" si="4"/>
        <v>86</v>
      </c>
      <c r="M19" s="10">
        <f t="shared" ref="M19" si="5">SUM(M15,M17)</f>
        <v>128</v>
      </c>
      <c r="N19" s="27">
        <f t="shared" si="4"/>
        <v>1154</v>
      </c>
      <c r="O19" s="34"/>
      <c r="P19" s="37"/>
      <c r="Q19" s="40"/>
      <c r="R19" s="21"/>
    </row>
    <row r="20" spans="1:18" ht="15.75" thickBot="1">
      <c r="A20" s="44"/>
      <c r="B20" s="55"/>
      <c r="C20" s="59"/>
      <c r="D20" s="13" t="s">
        <v>14</v>
      </c>
      <c r="E20" s="14">
        <f>E19 / E18</f>
        <v>0.76666666666666672</v>
      </c>
      <c r="F20" s="14">
        <f t="shared" ref="F20:L20" si="6">F19 / F18</f>
        <v>0.67333333333333334</v>
      </c>
      <c r="G20" s="14">
        <f t="shared" si="6"/>
        <v>0.87</v>
      </c>
      <c r="H20" s="14">
        <f t="shared" si="6"/>
        <v>0.78</v>
      </c>
      <c r="I20" s="14">
        <f t="shared" si="6"/>
        <v>0.81499999999999995</v>
      </c>
      <c r="J20" s="14">
        <f t="shared" si="6"/>
        <v>0.76666666666666672</v>
      </c>
      <c r="K20" s="14">
        <f t="shared" si="6"/>
        <v>0.77333333333333332</v>
      </c>
      <c r="L20" s="14">
        <f t="shared" si="6"/>
        <v>0.57333333333333336</v>
      </c>
      <c r="M20" s="14">
        <f t="shared" ref="M20" si="7">M19 / M18</f>
        <v>0.85333333333333339</v>
      </c>
      <c r="N20" s="49"/>
      <c r="O20" s="35"/>
      <c r="P20" s="38"/>
      <c r="Q20" s="41"/>
      <c r="R20" s="22"/>
    </row>
    <row r="21" spans="1:18" ht="15.75" thickBot="1"/>
    <row r="22" spans="1:18" ht="29.25" thickBot="1">
      <c r="A22" s="1" t="s">
        <v>0</v>
      </c>
      <c r="B22" s="2" t="s">
        <v>1</v>
      </c>
      <c r="C22" s="56" t="s">
        <v>2</v>
      </c>
      <c r="D22" s="3" t="s">
        <v>3</v>
      </c>
      <c r="E22" s="3" t="s">
        <v>4</v>
      </c>
      <c r="F22" s="3" t="s">
        <v>6</v>
      </c>
      <c r="G22" s="3" t="s">
        <v>7</v>
      </c>
      <c r="H22" s="4" t="s">
        <v>8</v>
      </c>
      <c r="I22" s="3" t="s">
        <v>9</v>
      </c>
      <c r="J22" s="3" t="s">
        <v>10</v>
      </c>
      <c r="K22" s="3" t="s">
        <v>11</v>
      </c>
      <c r="L22" s="3" t="s">
        <v>12</v>
      </c>
      <c r="M22" s="3" t="s">
        <v>5</v>
      </c>
      <c r="N22" s="3" t="s">
        <v>13</v>
      </c>
      <c r="O22" s="5" t="s">
        <v>14</v>
      </c>
      <c r="P22" s="5" t="s">
        <v>15</v>
      </c>
      <c r="Q22" s="5" t="s">
        <v>16</v>
      </c>
      <c r="R22" s="6" t="s">
        <v>17</v>
      </c>
    </row>
    <row r="23" spans="1:18" ht="15" customHeight="1" thickTop="1">
      <c r="A23" s="42" t="s">
        <v>31</v>
      </c>
      <c r="B23" s="53">
        <v>603</v>
      </c>
      <c r="C23" s="57" t="s">
        <v>32</v>
      </c>
      <c r="D23" s="18" t="s">
        <v>18</v>
      </c>
      <c r="E23" s="7">
        <v>75</v>
      </c>
      <c r="F23" s="7">
        <v>75</v>
      </c>
      <c r="G23" s="7">
        <v>100</v>
      </c>
      <c r="H23" s="7">
        <v>100</v>
      </c>
      <c r="I23" s="7">
        <v>100</v>
      </c>
      <c r="J23" s="7">
        <v>75</v>
      </c>
      <c r="K23" s="7">
        <v>75</v>
      </c>
      <c r="L23" s="7">
        <v>75</v>
      </c>
      <c r="M23" s="9">
        <v>75</v>
      </c>
      <c r="N23" s="7">
        <f>SUM(E23:M23)</f>
        <v>750</v>
      </c>
      <c r="O23" s="47">
        <f>N24/750</f>
        <v>0.628</v>
      </c>
      <c r="P23" s="48" t="s">
        <v>38</v>
      </c>
      <c r="Q23" s="18"/>
      <c r="R23" s="20"/>
    </row>
    <row r="24" spans="1:18">
      <c r="A24" s="43"/>
      <c r="B24" s="54"/>
      <c r="C24" s="57"/>
      <c r="D24" s="19"/>
      <c r="E24" s="10">
        <v>29</v>
      </c>
      <c r="F24" s="10">
        <v>52</v>
      </c>
      <c r="G24" s="10">
        <v>82</v>
      </c>
      <c r="H24" s="10">
        <v>54</v>
      </c>
      <c r="I24" s="10">
        <v>68</v>
      </c>
      <c r="J24" s="10">
        <v>45</v>
      </c>
      <c r="K24" s="10">
        <v>50</v>
      </c>
      <c r="L24" s="10">
        <v>41</v>
      </c>
      <c r="M24" s="10">
        <v>50</v>
      </c>
      <c r="N24" s="10">
        <f>SUM(E24:M24)</f>
        <v>471</v>
      </c>
      <c r="O24" s="26"/>
      <c r="P24" s="28"/>
      <c r="Q24" s="19"/>
      <c r="R24" s="21"/>
    </row>
    <row r="25" spans="1:18" ht="14.45" customHeight="1">
      <c r="A25" s="43"/>
      <c r="B25" s="54"/>
      <c r="C25" s="57"/>
      <c r="D25" s="23" t="s">
        <v>19</v>
      </c>
      <c r="E25" s="11">
        <v>75</v>
      </c>
      <c r="F25" s="12">
        <v>75</v>
      </c>
      <c r="G25" s="12">
        <v>100</v>
      </c>
      <c r="H25" s="12">
        <v>100</v>
      </c>
      <c r="I25" s="12">
        <v>100</v>
      </c>
      <c r="J25" s="12">
        <v>75</v>
      </c>
      <c r="K25" s="12">
        <v>75</v>
      </c>
      <c r="L25" s="12">
        <v>75</v>
      </c>
      <c r="M25" s="12">
        <v>75</v>
      </c>
      <c r="N25" s="7">
        <f>SUM(E25:M25)</f>
        <v>750</v>
      </c>
      <c r="O25" s="25">
        <f>N26/750</f>
        <v>0.58666666666666667</v>
      </c>
      <c r="P25" s="27" t="s">
        <v>96</v>
      </c>
      <c r="Q25" s="29" t="s">
        <v>21</v>
      </c>
      <c r="R25" s="21"/>
    </row>
    <row r="26" spans="1:18" ht="14.45" customHeight="1">
      <c r="A26" s="43"/>
      <c r="B26" s="54"/>
      <c r="C26" s="58" t="s">
        <v>26</v>
      </c>
      <c r="D26" s="24"/>
      <c r="E26" s="10">
        <v>28</v>
      </c>
      <c r="F26" s="10">
        <v>54</v>
      </c>
      <c r="G26" s="10">
        <v>75</v>
      </c>
      <c r="H26" s="10">
        <v>35</v>
      </c>
      <c r="I26" s="10">
        <v>69</v>
      </c>
      <c r="J26" s="10">
        <v>47</v>
      </c>
      <c r="K26" s="10">
        <v>40</v>
      </c>
      <c r="L26" s="10">
        <v>48</v>
      </c>
      <c r="M26" s="10">
        <v>44</v>
      </c>
      <c r="N26" s="10">
        <f>SUM(E26:M26)</f>
        <v>440</v>
      </c>
      <c r="O26" s="26"/>
      <c r="P26" s="28"/>
      <c r="Q26" s="30"/>
      <c r="R26" s="21"/>
    </row>
    <row r="27" spans="1:18" ht="14.45" customHeight="1">
      <c r="A27" s="43"/>
      <c r="B27" s="54"/>
      <c r="C27" s="57" t="s">
        <v>33</v>
      </c>
      <c r="D27" s="31" t="s">
        <v>22</v>
      </c>
      <c r="E27" s="11">
        <v>150</v>
      </c>
      <c r="F27" s="12">
        <v>150</v>
      </c>
      <c r="G27" s="12">
        <v>200</v>
      </c>
      <c r="H27" s="12">
        <v>200</v>
      </c>
      <c r="I27" s="12">
        <v>200</v>
      </c>
      <c r="J27" s="12">
        <v>150</v>
      </c>
      <c r="K27" s="12">
        <v>150</v>
      </c>
      <c r="L27" s="12">
        <v>150</v>
      </c>
      <c r="M27" s="12">
        <v>150</v>
      </c>
      <c r="N27" s="7">
        <f>SUM(E27:M27)</f>
        <v>1500</v>
      </c>
      <c r="O27" s="33">
        <f>N28/1500</f>
        <v>0.60733333333333328</v>
      </c>
      <c r="P27" s="36" t="s">
        <v>38</v>
      </c>
      <c r="Q27" s="39"/>
      <c r="R27" s="21"/>
    </row>
    <row r="28" spans="1:18">
      <c r="A28" s="43"/>
      <c r="B28" s="54"/>
      <c r="C28" s="57"/>
      <c r="D28" s="32"/>
      <c r="E28" s="10">
        <f>SUM(E26,E24)</f>
        <v>57</v>
      </c>
      <c r="F28" s="10">
        <f t="shared" ref="F28:N28" si="8">SUM(F24,F26)</f>
        <v>106</v>
      </c>
      <c r="G28" s="10">
        <f t="shared" si="8"/>
        <v>157</v>
      </c>
      <c r="H28" s="10">
        <f t="shared" si="8"/>
        <v>89</v>
      </c>
      <c r="I28" s="10">
        <f t="shared" si="8"/>
        <v>137</v>
      </c>
      <c r="J28" s="10">
        <f t="shared" si="8"/>
        <v>92</v>
      </c>
      <c r="K28" s="10">
        <f t="shared" si="8"/>
        <v>90</v>
      </c>
      <c r="L28" s="10">
        <f t="shared" si="8"/>
        <v>89</v>
      </c>
      <c r="M28" s="10">
        <f t="shared" ref="M28" si="9">SUM(M24,M26)</f>
        <v>94</v>
      </c>
      <c r="N28" s="27">
        <f t="shared" si="8"/>
        <v>911</v>
      </c>
      <c r="O28" s="34"/>
      <c r="P28" s="37"/>
      <c r="Q28" s="40"/>
      <c r="R28" s="21"/>
    </row>
    <row r="29" spans="1:18" ht="15.75" thickBot="1">
      <c r="A29" s="44"/>
      <c r="B29" s="55"/>
      <c r="C29" s="57"/>
      <c r="D29" s="13" t="s">
        <v>14</v>
      </c>
      <c r="E29" s="14">
        <f>E28 / E27</f>
        <v>0.38</v>
      </c>
      <c r="F29" s="14">
        <f t="shared" ref="F29:L29" si="10">F28 / F27</f>
        <v>0.70666666666666667</v>
      </c>
      <c r="G29" s="14">
        <f t="shared" si="10"/>
        <v>0.78500000000000003</v>
      </c>
      <c r="H29" s="14">
        <f t="shared" si="10"/>
        <v>0.44500000000000001</v>
      </c>
      <c r="I29" s="14">
        <f t="shared" si="10"/>
        <v>0.68500000000000005</v>
      </c>
      <c r="J29" s="14">
        <f t="shared" si="10"/>
        <v>0.61333333333333329</v>
      </c>
      <c r="K29" s="14">
        <f t="shared" si="10"/>
        <v>0.6</v>
      </c>
      <c r="L29" s="14">
        <f t="shared" si="10"/>
        <v>0.59333333333333338</v>
      </c>
      <c r="M29" s="14">
        <f t="shared" ref="M29" si="11">M28 / M27</f>
        <v>0.62666666666666671</v>
      </c>
      <c r="N29" s="49"/>
      <c r="O29" s="35"/>
      <c r="P29" s="38"/>
      <c r="Q29" s="41"/>
      <c r="R29" s="22"/>
    </row>
    <row r="30" spans="1:18">
      <c r="K30" s="17"/>
      <c r="L30" s="17"/>
      <c r="M30" s="16"/>
    </row>
  </sheetData>
  <mergeCells count="55">
    <mergeCell ref="A1:R3"/>
    <mergeCell ref="A5:A11"/>
    <mergeCell ref="B5:B11"/>
    <mergeCell ref="D5:D6"/>
    <mergeCell ref="O5:O6"/>
    <mergeCell ref="P5:P6"/>
    <mergeCell ref="Q5:Q6"/>
    <mergeCell ref="R5:R11"/>
    <mergeCell ref="D7:D8"/>
    <mergeCell ref="C5:C7"/>
    <mergeCell ref="C9:C11"/>
    <mergeCell ref="O7:O8"/>
    <mergeCell ref="P7:P8"/>
    <mergeCell ref="Q7:Q8"/>
    <mergeCell ref="D9:D10"/>
    <mergeCell ref="O9:O11"/>
    <mergeCell ref="P9:P11"/>
    <mergeCell ref="Q9:Q11"/>
    <mergeCell ref="N10:N11"/>
    <mergeCell ref="A14:A20"/>
    <mergeCell ref="B14:B20"/>
    <mergeCell ref="D14:D15"/>
    <mergeCell ref="O14:O15"/>
    <mergeCell ref="N19:N20"/>
    <mergeCell ref="C14:C16"/>
    <mergeCell ref="C18:C20"/>
    <mergeCell ref="Q14:Q15"/>
    <mergeCell ref="R14:R20"/>
    <mergeCell ref="D16:D17"/>
    <mergeCell ref="O16:O17"/>
    <mergeCell ref="P16:P17"/>
    <mergeCell ref="Q16:Q17"/>
    <mergeCell ref="D18:D19"/>
    <mergeCell ref="O18:O20"/>
    <mergeCell ref="P18:P20"/>
    <mergeCell ref="Q18:Q20"/>
    <mergeCell ref="P14:P15"/>
    <mergeCell ref="A23:A29"/>
    <mergeCell ref="B23:B29"/>
    <mergeCell ref="D23:D24"/>
    <mergeCell ref="O23:O24"/>
    <mergeCell ref="N28:N29"/>
    <mergeCell ref="C23:C25"/>
    <mergeCell ref="C27:C29"/>
    <mergeCell ref="Q23:Q24"/>
    <mergeCell ref="R23:R29"/>
    <mergeCell ref="D25:D26"/>
    <mergeCell ref="O25:O26"/>
    <mergeCell ref="P25:P26"/>
    <mergeCell ref="Q25:Q26"/>
    <mergeCell ref="D27:D28"/>
    <mergeCell ref="O27:O29"/>
    <mergeCell ref="P27:P29"/>
    <mergeCell ref="Q27:Q29"/>
    <mergeCell ref="P23:P24"/>
  </mergeCells>
  <printOptions horizontalCentered="1"/>
  <pageMargins left="0.25" right="0.25" top="0.75" bottom="0.75" header="0.3" footer="0.3"/>
  <pageSetup scale="9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0"/>
  <sheetViews>
    <sheetView view="pageBreakPreview" zoomScaleNormal="100" zoomScaleSheetLayoutView="100" workbookViewId="0">
      <selection sqref="A1:R3"/>
    </sheetView>
  </sheetViews>
  <sheetFormatPr defaultRowHeight="15"/>
  <cols>
    <col min="1" max="1" width="4.140625" customWidth="1"/>
    <col min="2" max="2" width="5.85546875" customWidth="1"/>
    <col min="3" max="3" width="16.140625" customWidth="1"/>
    <col min="5" max="5" width="6.85546875" customWidth="1"/>
    <col min="6" max="6" width="6" customWidth="1"/>
    <col min="7" max="7" width="7" customWidth="1"/>
    <col min="8" max="8" width="7.28515625" customWidth="1"/>
    <col min="9" max="9" width="8.42578125" customWidth="1"/>
    <col min="10" max="10" width="5.5703125" customWidth="1"/>
    <col min="11" max="11" width="7.85546875" customWidth="1"/>
    <col min="12" max="12" width="5.42578125" customWidth="1"/>
    <col min="13" max="13" width="6.42578125" customWidth="1"/>
    <col min="14" max="14" width="7.42578125" customWidth="1"/>
    <col min="15" max="15" width="6" customWidth="1"/>
    <col min="16" max="16" width="6.28515625" customWidth="1"/>
    <col min="17" max="17" width="8" customWidth="1"/>
    <col min="18" max="18" width="10.7109375" customWidth="1"/>
  </cols>
  <sheetData>
    <row r="1" spans="1:18" ht="15" customHeight="1">
      <c r="A1" s="50" t="s">
        <v>23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</row>
    <row r="3" spans="1:18" ht="24.95" customHeight="1" thickBot="1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8" ht="29.25" thickBot="1">
      <c r="A4" s="1" t="s">
        <v>0</v>
      </c>
      <c r="B4" s="2" t="s">
        <v>1</v>
      </c>
      <c r="C4" s="56" t="s">
        <v>2</v>
      </c>
      <c r="D4" s="3" t="s">
        <v>3</v>
      </c>
      <c r="E4" s="3" t="s">
        <v>4</v>
      </c>
      <c r="F4" s="3" t="s">
        <v>6</v>
      </c>
      <c r="G4" s="3" t="s">
        <v>7</v>
      </c>
      <c r="H4" s="4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5</v>
      </c>
      <c r="N4" s="3" t="s">
        <v>13</v>
      </c>
      <c r="O4" s="5" t="s">
        <v>14</v>
      </c>
      <c r="P4" s="5" t="s">
        <v>15</v>
      </c>
      <c r="Q4" s="5" t="s">
        <v>16</v>
      </c>
      <c r="R4" s="6" t="s">
        <v>17</v>
      </c>
    </row>
    <row r="5" spans="1:18" ht="15.75" thickTop="1">
      <c r="A5" s="42" t="s">
        <v>34</v>
      </c>
      <c r="B5" s="42">
        <v>604</v>
      </c>
      <c r="C5" s="57" t="s">
        <v>35</v>
      </c>
      <c r="D5" s="18" t="s">
        <v>18</v>
      </c>
      <c r="E5" s="7">
        <v>75</v>
      </c>
      <c r="F5" s="7">
        <v>75</v>
      </c>
      <c r="G5" s="7">
        <v>100</v>
      </c>
      <c r="H5" s="7">
        <v>100</v>
      </c>
      <c r="I5" s="7">
        <v>100</v>
      </c>
      <c r="J5" s="7">
        <v>75</v>
      </c>
      <c r="K5" s="7">
        <v>75</v>
      </c>
      <c r="L5" s="7">
        <v>75</v>
      </c>
      <c r="M5" s="9">
        <v>75</v>
      </c>
      <c r="N5" s="7">
        <f>SUM(E5:M5)</f>
        <v>750</v>
      </c>
      <c r="O5" s="47">
        <f>N6/750</f>
        <v>0.81466666666666665</v>
      </c>
      <c r="P5" s="48" t="s">
        <v>37</v>
      </c>
      <c r="Q5" s="18"/>
      <c r="R5" s="42"/>
    </row>
    <row r="6" spans="1:18" ht="15.75" thickBot="1">
      <c r="A6" s="43"/>
      <c r="B6" s="43"/>
      <c r="C6" s="57"/>
      <c r="D6" s="19"/>
      <c r="E6" s="10">
        <v>56</v>
      </c>
      <c r="F6" s="10">
        <v>56</v>
      </c>
      <c r="G6" s="10">
        <v>81</v>
      </c>
      <c r="H6" s="10">
        <v>83</v>
      </c>
      <c r="I6" s="10">
        <v>90</v>
      </c>
      <c r="J6" s="10">
        <v>62</v>
      </c>
      <c r="K6" s="10">
        <v>68</v>
      </c>
      <c r="L6" s="10">
        <v>62</v>
      </c>
      <c r="M6" s="10">
        <v>53</v>
      </c>
      <c r="N6" s="10">
        <f>SUM(E6:M6)</f>
        <v>611</v>
      </c>
      <c r="O6" s="26"/>
      <c r="P6" s="68"/>
      <c r="Q6" s="19"/>
      <c r="R6" s="43"/>
    </row>
    <row r="7" spans="1:18" ht="15.75" thickTop="1">
      <c r="A7" s="43"/>
      <c r="B7" s="43"/>
      <c r="C7" s="57"/>
      <c r="D7" s="23" t="s">
        <v>19</v>
      </c>
      <c r="E7" s="11">
        <v>75</v>
      </c>
      <c r="F7" s="12">
        <v>75</v>
      </c>
      <c r="G7" s="12">
        <v>100</v>
      </c>
      <c r="H7" s="12">
        <v>100</v>
      </c>
      <c r="I7" s="12">
        <v>100</v>
      </c>
      <c r="J7" s="12">
        <v>75</v>
      </c>
      <c r="K7" s="12">
        <v>75</v>
      </c>
      <c r="L7" s="12">
        <v>75</v>
      </c>
      <c r="M7" s="12">
        <v>75</v>
      </c>
      <c r="N7" s="7">
        <f>SUM(E7:M7)</f>
        <v>750</v>
      </c>
      <c r="O7" s="25">
        <f>N8/750</f>
        <v>0.85866666666666669</v>
      </c>
      <c r="P7" s="48" t="s">
        <v>37</v>
      </c>
      <c r="Q7" s="29" t="s">
        <v>21</v>
      </c>
      <c r="R7" s="43"/>
    </row>
    <row r="8" spans="1:18">
      <c r="A8" s="43"/>
      <c r="B8" s="43"/>
      <c r="C8" s="58" t="s">
        <v>26</v>
      </c>
      <c r="D8" s="24"/>
      <c r="E8" s="10">
        <v>65</v>
      </c>
      <c r="F8" s="10">
        <v>60</v>
      </c>
      <c r="G8" s="10">
        <v>92</v>
      </c>
      <c r="H8" s="10">
        <v>82</v>
      </c>
      <c r="I8" s="10">
        <v>88</v>
      </c>
      <c r="J8" s="10">
        <v>71</v>
      </c>
      <c r="K8" s="10">
        <v>57</v>
      </c>
      <c r="L8" s="10">
        <v>62</v>
      </c>
      <c r="M8" s="10">
        <v>67</v>
      </c>
      <c r="N8" s="10">
        <f>SUM(E8:M8)</f>
        <v>644</v>
      </c>
      <c r="O8" s="26"/>
      <c r="P8" s="28"/>
      <c r="Q8" s="30"/>
      <c r="R8" s="43"/>
    </row>
    <row r="9" spans="1:18">
      <c r="A9" s="43"/>
      <c r="B9" s="43"/>
      <c r="C9" s="57" t="s">
        <v>36</v>
      </c>
      <c r="D9" s="31" t="s">
        <v>22</v>
      </c>
      <c r="E9" s="11">
        <v>150</v>
      </c>
      <c r="F9" s="12">
        <v>150</v>
      </c>
      <c r="G9" s="12">
        <v>200</v>
      </c>
      <c r="H9" s="12">
        <v>200</v>
      </c>
      <c r="I9" s="12">
        <v>200</v>
      </c>
      <c r="J9" s="12">
        <v>150</v>
      </c>
      <c r="K9" s="12">
        <v>150</v>
      </c>
      <c r="L9" s="12">
        <v>150</v>
      </c>
      <c r="M9" s="12">
        <v>150</v>
      </c>
      <c r="N9" s="7">
        <f>SUM(E9:M9)</f>
        <v>1500</v>
      </c>
      <c r="O9" s="33">
        <f>N10/1500</f>
        <v>0.83666666666666667</v>
      </c>
      <c r="P9" s="36" t="s">
        <v>37</v>
      </c>
      <c r="Q9" s="39"/>
      <c r="R9" s="43"/>
    </row>
    <row r="10" spans="1:18">
      <c r="A10" s="43"/>
      <c r="B10" s="43"/>
      <c r="C10" s="57"/>
      <c r="D10" s="32"/>
      <c r="E10" s="10">
        <f>SUM(E8,E6)</f>
        <v>121</v>
      </c>
      <c r="F10" s="10">
        <f t="shared" ref="F10:N10" si="0">SUM(F6,F8)</f>
        <v>116</v>
      </c>
      <c r="G10" s="10">
        <f t="shared" si="0"/>
        <v>173</v>
      </c>
      <c r="H10" s="10">
        <f t="shared" si="0"/>
        <v>165</v>
      </c>
      <c r="I10" s="10">
        <f t="shared" si="0"/>
        <v>178</v>
      </c>
      <c r="J10" s="10">
        <f t="shared" si="0"/>
        <v>133</v>
      </c>
      <c r="K10" s="10">
        <f t="shared" si="0"/>
        <v>125</v>
      </c>
      <c r="L10" s="10">
        <f t="shared" si="0"/>
        <v>124</v>
      </c>
      <c r="M10" s="10">
        <f t="shared" ref="M10" si="1">SUM(M6,M8)</f>
        <v>120</v>
      </c>
      <c r="N10" s="27">
        <f t="shared" si="0"/>
        <v>1255</v>
      </c>
      <c r="O10" s="34"/>
      <c r="P10" s="37"/>
      <c r="Q10" s="40"/>
      <c r="R10" s="43"/>
    </row>
    <row r="11" spans="1:18" ht="15.75" thickBot="1">
      <c r="A11" s="44"/>
      <c r="B11" s="44"/>
      <c r="C11" s="57"/>
      <c r="D11" s="13" t="s">
        <v>14</v>
      </c>
      <c r="E11" s="14">
        <f>E10 / E9</f>
        <v>0.80666666666666664</v>
      </c>
      <c r="F11" s="14">
        <f t="shared" ref="F11:L11" si="2">F10 / F9</f>
        <v>0.77333333333333332</v>
      </c>
      <c r="G11" s="14">
        <f t="shared" si="2"/>
        <v>0.86499999999999999</v>
      </c>
      <c r="H11" s="14">
        <f t="shared" si="2"/>
        <v>0.82499999999999996</v>
      </c>
      <c r="I11" s="14">
        <f t="shared" si="2"/>
        <v>0.89</v>
      </c>
      <c r="J11" s="14">
        <f t="shared" si="2"/>
        <v>0.88666666666666671</v>
      </c>
      <c r="K11" s="14">
        <f t="shared" si="2"/>
        <v>0.83333333333333337</v>
      </c>
      <c r="L11" s="14">
        <f t="shared" si="2"/>
        <v>0.82666666666666666</v>
      </c>
      <c r="M11" s="14">
        <f t="shared" ref="M11" si="3">M10 / M9</f>
        <v>0.8</v>
      </c>
      <c r="N11" s="49"/>
      <c r="O11" s="35"/>
      <c r="P11" s="38"/>
      <c r="Q11" s="41"/>
      <c r="R11" s="44"/>
    </row>
    <row r="12" spans="1:18" ht="15.75" thickBo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spans="1:18" ht="29.25" thickBot="1">
      <c r="A13" s="1" t="s">
        <v>0</v>
      </c>
      <c r="B13" s="2" t="s">
        <v>1</v>
      </c>
      <c r="C13" s="56" t="s">
        <v>2</v>
      </c>
      <c r="D13" s="3" t="s">
        <v>3</v>
      </c>
      <c r="E13" s="3" t="s">
        <v>4</v>
      </c>
      <c r="F13" s="3" t="s">
        <v>6</v>
      </c>
      <c r="G13" s="3" t="s">
        <v>7</v>
      </c>
      <c r="H13" s="4" t="s">
        <v>8</v>
      </c>
      <c r="I13" s="3" t="s">
        <v>9</v>
      </c>
      <c r="J13" s="3" t="s">
        <v>10</v>
      </c>
      <c r="K13" s="3" t="s">
        <v>11</v>
      </c>
      <c r="L13" s="3" t="s">
        <v>12</v>
      </c>
      <c r="M13" s="3" t="s">
        <v>5</v>
      </c>
      <c r="N13" s="3" t="s">
        <v>13</v>
      </c>
      <c r="O13" s="5" t="s">
        <v>14</v>
      </c>
      <c r="P13" s="5" t="s">
        <v>15</v>
      </c>
      <c r="Q13" s="5" t="s">
        <v>16</v>
      </c>
      <c r="R13" s="6" t="s">
        <v>17</v>
      </c>
    </row>
    <row r="14" spans="1:18" ht="15.75" thickTop="1">
      <c r="A14" s="42" t="s">
        <v>39</v>
      </c>
      <c r="B14" s="42">
        <v>605</v>
      </c>
      <c r="C14" s="57" t="s">
        <v>40</v>
      </c>
      <c r="D14" s="18" t="s">
        <v>18</v>
      </c>
      <c r="E14" s="7">
        <v>75</v>
      </c>
      <c r="F14" s="7">
        <v>75</v>
      </c>
      <c r="G14" s="7">
        <v>100</v>
      </c>
      <c r="H14" s="7">
        <v>100</v>
      </c>
      <c r="I14" s="7">
        <v>100</v>
      </c>
      <c r="J14" s="7">
        <v>75</v>
      </c>
      <c r="K14" s="7">
        <v>75</v>
      </c>
      <c r="L14" s="7">
        <v>75</v>
      </c>
      <c r="M14" s="9">
        <v>75</v>
      </c>
      <c r="N14" s="7">
        <f>SUM(E14:M14)</f>
        <v>750</v>
      </c>
      <c r="O14" s="47">
        <f>N15/750</f>
        <v>0.77600000000000002</v>
      </c>
      <c r="P14" s="48" t="s">
        <v>20</v>
      </c>
      <c r="Q14" s="18"/>
      <c r="R14" s="20"/>
    </row>
    <row r="15" spans="1:18">
      <c r="A15" s="43"/>
      <c r="B15" s="43"/>
      <c r="C15" s="57"/>
      <c r="D15" s="19"/>
      <c r="E15" s="10">
        <v>67</v>
      </c>
      <c r="F15" s="10">
        <v>38</v>
      </c>
      <c r="G15" s="10">
        <v>83</v>
      </c>
      <c r="H15" s="10">
        <v>90</v>
      </c>
      <c r="I15" s="10">
        <v>93</v>
      </c>
      <c r="J15" s="10">
        <v>60</v>
      </c>
      <c r="K15" s="10">
        <v>50</v>
      </c>
      <c r="L15" s="10">
        <v>41</v>
      </c>
      <c r="M15" s="10">
        <v>60</v>
      </c>
      <c r="N15" s="10">
        <f>SUM(E15:M15)</f>
        <v>582</v>
      </c>
      <c r="O15" s="26"/>
      <c r="P15" s="28"/>
      <c r="Q15" s="19"/>
      <c r="R15" s="21"/>
    </row>
    <row r="16" spans="1:18">
      <c r="A16" s="43"/>
      <c r="B16" s="43"/>
      <c r="C16" s="57"/>
      <c r="D16" s="23" t="s">
        <v>19</v>
      </c>
      <c r="E16" s="11">
        <v>75</v>
      </c>
      <c r="F16" s="12">
        <v>75</v>
      </c>
      <c r="G16" s="12">
        <v>100</v>
      </c>
      <c r="H16" s="12">
        <v>100</v>
      </c>
      <c r="I16" s="12">
        <v>100</v>
      </c>
      <c r="J16" s="12">
        <v>75</v>
      </c>
      <c r="K16" s="12">
        <v>75</v>
      </c>
      <c r="L16" s="12">
        <v>75</v>
      </c>
      <c r="M16" s="12">
        <v>75</v>
      </c>
      <c r="N16" s="7">
        <f>SUM(E16:M16)</f>
        <v>750</v>
      </c>
      <c r="O16" s="25">
        <f>N17/750</f>
        <v>0.81066666666666665</v>
      </c>
      <c r="P16" s="27" t="s">
        <v>37</v>
      </c>
      <c r="Q16" s="29" t="s">
        <v>21</v>
      </c>
      <c r="R16" s="21"/>
    </row>
    <row r="17" spans="1:18">
      <c r="A17" s="43"/>
      <c r="B17" s="43"/>
      <c r="C17" s="58" t="s">
        <v>26</v>
      </c>
      <c r="D17" s="24"/>
      <c r="E17" s="10">
        <v>68</v>
      </c>
      <c r="F17" s="10">
        <v>46</v>
      </c>
      <c r="G17" s="10">
        <v>90</v>
      </c>
      <c r="H17" s="10">
        <v>80</v>
      </c>
      <c r="I17" s="10">
        <v>81</v>
      </c>
      <c r="J17" s="10">
        <v>66</v>
      </c>
      <c r="K17" s="10">
        <v>52</v>
      </c>
      <c r="L17" s="10">
        <v>59</v>
      </c>
      <c r="M17" s="10">
        <v>66</v>
      </c>
      <c r="N17" s="10">
        <f>SUM(E17:M17)</f>
        <v>608</v>
      </c>
      <c r="O17" s="26"/>
      <c r="P17" s="28"/>
      <c r="Q17" s="30"/>
      <c r="R17" s="21"/>
    </row>
    <row r="18" spans="1:18">
      <c r="A18" s="43"/>
      <c r="B18" s="43"/>
      <c r="C18" s="57" t="s">
        <v>41</v>
      </c>
      <c r="D18" s="31" t="s">
        <v>22</v>
      </c>
      <c r="E18" s="11">
        <v>150</v>
      </c>
      <c r="F18" s="12">
        <v>150</v>
      </c>
      <c r="G18" s="12">
        <v>200</v>
      </c>
      <c r="H18" s="12">
        <v>200</v>
      </c>
      <c r="I18" s="12">
        <v>200</v>
      </c>
      <c r="J18" s="12">
        <v>150</v>
      </c>
      <c r="K18" s="12">
        <v>150</v>
      </c>
      <c r="L18" s="12">
        <v>150</v>
      </c>
      <c r="M18" s="12">
        <v>150</v>
      </c>
      <c r="N18" s="7">
        <f>SUM(E18:M18)</f>
        <v>1500</v>
      </c>
      <c r="O18" s="33">
        <f>N19/1500</f>
        <v>0.79333333333333333</v>
      </c>
      <c r="P18" s="36" t="s">
        <v>37</v>
      </c>
      <c r="Q18" s="39"/>
      <c r="R18" s="21"/>
    </row>
    <row r="19" spans="1:18">
      <c r="A19" s="43"/>
      <c r="B19" s="43"/>
      <c r="C19" s="57"/>
      <c r="D19" s="32"/>
      <c r="E19" s="10">
        <f>SUM(E17,E15)</f>
        <v>135</v>
      </c>
      <c r="F19" s="10">
        <f t="shared" ref="F19:N19" si="4">SUM(F15,F17)</f>
        <v>84</v>
      </c>
      <c r="G19" s="10">
        <f t="shared" si="4"/>
        <v>173</v>
      </c>
      <c r="H19" s="10">
        <f t="shared" si="4"/>
        <v>170</v>
      </c>
      <c r="I19" s="10">
        <f t="shared" si="4"/>
        <v>174</v>
      </c>
      <c r="J19" s="10">
        <f t="shared" si="4"/>
        <v>126</v>
      </c>
      <c r="K19" s="10">
        <f t="shared" si="4"/>
        <v>102</v>
      </c>
      <c r="L19" s="10">
        <f t="shared" si="4"/>
        <v>100</v>
      </c>
      <c r="M19" s="10">
        <f t="shared" ref="M19" si="5">SUM(M15,M17)</f>
        <v>126</v>
      </c>
      <c r="N19" s="27">
        <f t="shared" si="4"/>
        <v>1190</v>
      </c>
      <c r="O19" s="34"/>
      <c r="P19" s="37"/>
      <c r="Q19" s="40"/>
      <c r="R19" s="21"/>
    </row>
    <row r="20" spans="1:18" ht="15.75" thickBot="1">
      <c r="A20" s="44"/>
      <c r="B20" s="44"/>
      <c r="C20" s="57"/>
      <c r="D20" s="13" t="s">
        <v>14</v>
      </c>
      <c r="E20" s="14">
        <f>E19 / E18</f>
        <v>0.9</v>
      </c>
      <c r="F20" s="14">
        <f t="shared" ref="F20:L20" si="6">F19 / F18</f>
        <v>0.56000000000000005</v>
      </c>
      <c r="G20" s="14">
        <f t="shared" si="6"/>
        <v>0.86499999999999999</v>
      </c>
      <c r="H20" s="14">
        <f t="shared" si="6"/>
        <v>0.85</v>
      </c>
      <c r="I20" s="14">
        <f t="shared" si="6"/>
        <v>0.87</v>
      </c>
      <c r="J20" s="14">
        <f t="shared" si="6"/>
        <v>0.84</v>
      </c>
      <c r="K20" s="14">
        <f t="shared" si="6"/>
        <v>0.68</v>
      </c>
      <c r="L20" s="14">
        <f t="shared" si="6"/>
        <v>0.66666666666666663</v>
      </c>
      <c r="M20" s="14">
        <f t="shared" ref="M20" si="7">M19 / M18</f>
        <v>0.84</v>
      </c>
      <c r="N20" s="49"/>
      <c r="O20" s="35"/>
      <c r="P20" s="38"/>
      <c r="Q20" s="41"/>
      <c r="R20" s="22"/>
    </row>
    <row r="21" spans="1:18" ht="15.75" thickBot="1"/>
    <row r="22" spans="1:18" ht="29.25" thickBot="1">
      <c r="A22" s="1" t="s">
        <v>0</v>
      </c>
      <c r="B22" s="2" t="s">
        <v>1</v>
      </c>
      <c r="C22" s="56" t="s">
        <v>2</v>
      </c>
      <c r="D22" s="3" t="s">
        <v>3</v>
      </c>
      <c r="E22" s="3" t="s">
        <v>4</v>
      </c>
      <c r="F22" s="3" t="s">
        <v>6</v>
      </c>
      <c r="G22" s="3" t="s">
        <v>7</v>
      </c>
      <c r="H22" s="4" t="s">
        <v>8</v>
      </c>
      <c r="I22" s="3" t="s">
        <v>9</v>
      </c>
      <c r="J22" s="3" t="s">
        <v>10</v>
      </c>
      <c r="K22" s="3" t="s">
        <v>11</v>
      </c>
      <c r="L22" s="3" t="s">
        <v>12</v>
      </c>
      <c r="M22" s="3" t="s">
        <v>5</v>
      </c>
      <c r="N22" s="3" t="s">
        <v>13</v>
      </c>
      <c r="O22" s="5" t="s">
        <v>14</v>
      </c>
      <c r="P22" s="5" t="s">
        <v>15</v>
      </c>
      <c r="Q22" s="5" t="s">
        <v>16</v>
      </c>
      <c r="R22" s="6" t="s">
        <v>17</v>
      </c>
    </row>
    <row r="23" spans="1:18" ht="15.75" thickTop="1">
      <c r="A23" s="42" t="s">
        <v>42</v>
      </c>
      <c r="B23" s="42">
        <v>606</v>
      </c>
      <c r="C23" s="57" t="s">
        <v>43</v>
      </c>
      <c r="D23" s="18" t="s">
        <v>18</v>
      </c>
      <c r="E23" s="7">
        <v>75</v>
      </c>
      <c r="F23" s="7">
        <v>75</v>
      </c>
      <c r="G23" s="7">
        <v>100</v>
      </c>
      <c r="H23" s="7">
        <v>100</v>
      </c>
      <c r="I23" s="7">
        <v>100</v>
      </c>
      <c r="J23" s="7">
        <v>75</v>
      </c>
      <c r="K23" s="7">
        <v>75</v>
      </c>
      <c r="L23" s="7">
        <v>75</v>
      </c>
      <c r="M23" s="9">
        <v>75</v>
      </c>
      <c r="N23" s="7">
        <f>SUM(E23:M23)</f>
        <v>750</v>
      </c>
      <c r="O23" s="47">
        <f>N24/750</f>
        <v>0.83199999999999996</v>
      </c>
      <c r="P23" s="48" t="s">
        <v>37</v>
      </c>
      <c r="Q23" s="18"/>
      <c r="R23" s="20"/>
    </row>
    <row r="24" spans="1:18">
      <c r="A24" s="43"/>
      <c r="B24" s="43"/>
      <c r="C24" s="57"/>
      <c r="D24" s="19"/>
      <c r="E24" s="10">
        <v>61</v>
      </c>
      <c r="F24" s="10">
        <v>66</v>
      </c>
      <c r="G24" s="10">
        <v>92</v>
      </c>
      <c r="H24" s="10">
        <v>83</v>
      </c>
      <c r="I24" s="10">
        <v>87</v>
      </c>
      <c r="J24" s="10">
        <v>57</v>
      </c>
      <c r="K24" s="10">
        <v>63</v>
      </c>
      <c r="L24" s="10">
        <v>64</v>
      </c>
      <c r="M24" s="10">
        <v>51</v>
      </c>
      <c r="N24" s="10">
        <f>SUM(E24:M24)</f>
        <v>624</v>
      </c>
      <c r="O24" s="26"/>
      <c r="P24" s="28"/>
      <c r="Q24" s="19"/>
      <c r="R24" s="21"/>
    </row>
    <row r="25" spans="1:18">
      <c r="A25" s="43"/>
      <c r="B25" s="43"/>
      <c r="C25" s="57"/>
      <c r="D25" s="23" t="s">
        <v>19</v>
      </c>
      <c r="E25" s="11">
        <v>75</v>
      </c>
      <c r="F25" s="12">
        <v>75</v>
      </c>
      <c r="G25" s="12">
        <v>100</v>
      </c>
      <c r="H25" s="12">
        <v>100</v>
      </c>
      <c r="I25" s="12">
        <v>100</v>
      </c>
      <c r="J25" s="12">
        <v>75</v>
      </c>
      <c r="K25" s="12">
        <v>75</v>
      </c>
      <c r="L25" s="12">
        <v>75</v>
      </c>
      <c r="M25" s="12">
        <v>75</v>
      </c>
      <c r="N25" s="7">
        <f>SUM(E25:M25)</f>
        <v>750</v>
      </c>
      <c r="O25" s="25">
        <f>N26/750</f>
        <v>0.85333333333333339</v>
      </c>
      <c r="P25" s="27" t="s">
        <v>37</v>
      </c>
      <c r="Q25" s="29" t="s">
        <v>21</v>
      </c>
      <c r="R25" s="21"/>
    </row>
    <row r="26" spans="1:18">
      <c r="A26" s="43"/>
      <c r="B26" s="43"/>
      <c r="C26" s="58" t="s">
        <v>26</v>
      </c>
      <c r="D26" s="24"/>
      <c r="E26" s="10">
        <v>66</v>
      </c>
      <c r="F26" s="10">
        <v>66</v>
      </c>
      <c r="G26" s="10">
        <v>93</v>
      </c>
      <c r="H26" s="10">
        <v>76</v>
      </c>
      <c r="I26" s="10">
        <v>83</v>
      </c>
      <c r="J26" s="10">
        <v>64</v>
      </c>
      <c r="K26" s="10">
        <v>69</v>
      </c>
      <c r="L26" s="10">
        <v>62</v>
      </c>
      <c r="M26" s="10">
        <v>61</v>
      </c>
      <c r="N26" s="10">
        <f>SUM(E26:M26)</f>
        <v>640</v>
      </c>
      <c r="O26" s="26"/>
      <c r="P26" s="28"/>
      <c r="Q26" s="30"/>
      <c r="R26" s="21"/>
    </row>
    <row r="27" spans="1:18">
      <c r="A27" s="43"/>
      <c r="B27" s="43"/>
      <c r="C27" s="57" t="s">
        <v>44</v>
      </c>
      <c r="D27" s="31" t="s">
        <v>22</v>
      </c>
      <c r="E27" s="11">
        <v>150</v>
      </c>
      <c r="F27" s="12">
        <v>150</v>
      </c>
      <c r="G27" s="12">
        <v>200</v>
      </c>
      <c r="H27" s="12">
        <v>200</v>
      </c>
      <c r="I27" s="12">
        <v>200</v>
      </c>
      <c r="J27" s="12">
        <v>150</v>
      </c>
      <c r="K27" s="12">
        <v>150</v>
      </c>
      <c r="L27" s="12">
        <v>150</v>
      </c>
      <c r="M27" s="12">
        <v>150</v>
      </c>
      <c r="N27" s="7">
        <f>SUM(E27:M27)</f>
        <v>1500</v>
      </c>
      <c r="O27" s="33">
        <f>N28/1500</f>
        <v>0.84266666666666667</v>
      </c>
      <c r="P27" s="36" t="s">
        <v>37</v>
      </c>
      <c r="Q27" s="39"/>
      <c r="R27" s="21"/>
    </row>
    <row r="28" spans="1:18">
      <c r="A28" s="43"/>
      <c r="B28" s="43"/>
      <c r="C28" s="57"/>
      <c r="D28" s="32"/>
      <c r="E28" s="10">
        <f>SUM(E26,E24)</f>
        <v>127</v>
      </c>
      <c r="F28" s="10">
        <f t="shared" ref="F28:N28" si="8">SUM(F24,F26)</f>
        <v>132</v>
      </c>
      <c r="G28" s="10">
        <f t="shared" si="8"/>
        <v>185</v>
      </c>
      <c r="H28" s="10">
        <f t="shared" si="8"/>
        <v>159</v>
      </c>
      <c r="I28" s="10">
        <f t="shared" si="8"/>
        <v>170</v>
      </c>
      <c r="J28" s="10">
        <f t="shared" si="8"/>
        <v>121</v>
      </c>
      <c r="K28" s="10">
        <f t="shared" si="8"/>
        <v>132</v>
      </c>
      <c r="L28" s="10">
        <f t="shared" si="8"/>
        <v>126</v>
      </c>
      <c r="M28" s="10">
        <f t="shared" ref="M28" si="9">SUM(M24,M26)</f>
        <v>112</v>
      </c>
      <c r="N28" s="27">
        <f t="shared" si="8"/>
        <v>1264</v>
      </c>
      <c r="O28" s="34"/>
      <c r="P28" s="37"/>
      <c r="Q28" s="40"/>
      <c r="R28" s="21"/>
    </row>
    <row r="29" spans="1:18" ht="15.75" thickBot="1">
      <c r="A29" s="44"/>
      <c r="B29" s="44"/>
      <c r="C29" s="57"/>
      <c r="D29" s="13" t="s">
        <v>14</v>
      </c>
      <c r="E29" s="14">
        <f>E28 / E27</f>
        <v>0.84666666666666668</v>
      </c>
      <c r="F29" s="14">
        <f t="shared" ref="F29:L29" si="10">F28 / F27</f>
        <v>0.88</v>
      </c>
      <c r="G29" s="14">
        <f t="shared" si="10"/>
        <v>0.92500000000000004</v>
      </c>
      <c r="H29" s="14">
        <f t="shared" si="10"/>
        <v>0.79500000000000004</v>
      </c>
      <c r="I29" s="14">
        <f t="shared" si="10"/>
        <v>0.85</v>
      </c>
      <c r="J29" s="14">
        <f t="shared" si="10"/>
        <v>0.80666666666666664</v>
      </c>
      <c r="K29" s="14">
        <f t="shared" si="10"/>
        <v>0.88</v>
      </c>
      <c r="L29" s="14">
        <f t="shared" si="10"/>
        <v>0.84</v>
      </c>
      <c r="M29" s="14">
        <f t="shared" ref="M29" si="11">M28 / M27</f>
        <v>0.7466666666666667</v>
      </c>
      <c r="N29" s="49"/>
      <c r="O29" s="35"/>
      <c r="P29" s="38"/>
      <c r="Q29" s="41"/>
      <c r="R29" s="22"/>
    </row>
    <row r="30" spans="1:18">
      <c r="K30" s="17"/>
      <c r="L30" s="17"/>
      <c r="M30" s="16"/>
    </row>
  </sheetData>
  <mergeCells count="55">
    <mergeCell ref="A1:R3"/>
    <mergeCell ref="A5:A11"/>
    <mergeCell ref="B5:B11"/>
    <mergeCell ref="D5:D6"/>
    <mergeCell ref="O5:O6"/>
    <mergeCell ref="P5:P6"/>
    <mergeCell ref="Q5:Q6"/>
    <mergeCell ref="R5:R11"/>
    <mergeCell ref="D7:D8"/>
    <mergeCell ref="C5:C7"/>
    <mergeCell ref="C9:C11"/>
    <mergeCell ref="O7:O8"/>
    <mergeCell ref="P7:P8"/>
    <mergeCell ref="Q7:Q8"/>
    <mergeCell ref="D9:D10"/>
    <mergeCell ref="O9:O11"/>
    <mergeCell ref="P9:P11"/>
    <mergeCell ref="Q9:Q11"/>
    <mergeCell ref="N10:N11"/>
    <mergeCell ref="A14:A20"/>
    <mergeCell ref="B14:B20"/>
    <mergeCell ref="D14:D15"/>
    <mergeCell ref="O14:O15"/>
    <mergeCell ref="N19:N20"/>
    <mergeCell ref="C14:C16"/>
    <mergeCell ref="C18:C20"/>
    <mergeCell ref="Q14:Q15"/>
    <mergeCell ref="R14:R20"/>
    <mergeCell ref="D16:D17"/>
    <mergeCell ref="O16:O17"/>
    <mergeCell ref="P16:P17"/>
    <mergeCell ref="Q16:Q17"/>
    <mergeCell ref="D18:D19"/>
    <mergeCell ref="O18:O20"/>
    <mergeCell ref="P18:P20"/>
    <mergeCell ref="Q18:Q20"/>
    <mergeCell ref="P14:P15"/>
    <mergeCell ref="A23:A29"/>
    <mergeCell ref="B23:B29"/>
    <mergeCell ref="D23:D24"/>
    <mergeCell ref="O23:O24"/>
    <mergeCell ref="N28:N29"/>
    <mergeCell ref="C23:C25"/>
    <mergeCell ref="C27:C29"/>
    <mergeCell ref="Q23:Q24"/>
    <mergeCell ref="R23:R29"/>
    <mergeCell ref="D25:D26"/>
    <mergeCell ref="O25:O26"/>
    <mergeCell ref="P25:P26"/>
    <mergeCell ref="Q25:Q26"/>
    <mergeCell ref="D27:D28"/>
    <mergeCell ref="O27:O29"/>
    <mergeCell ref="P27:P29"/>
    <mergeCell ref="Q27:Q29"/>
    <mergeCell ref="P23:P24"/>
  </mergeCells>
  <pageMargins left="0.25" right="0.25" top="0.75" bottom="0.75" header="0.3" footer="0.3"/>
  <pageSetup scale="9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0"/>
  <sheetViews>
    <sheetView view="pageBreakPreview" zoomScale="115" zoomScaleNormal="115" zoomScaleSheetLayoutView="115" workbookViewId="0">
      <selection activeCell="P9" sqref="P9:P11"/>
    </sheetView>
  </sheetViews>
  <sheetFormatPr defaultRowHeight="15"/>
  <cols>
    <col min="1" max="1" width="4.140625" customWidth="1"/>
    <col min="2" max="2" width="5.85546875" customWidth="1"/>
    <col min="3" max="3" width="16.140625" customWidth="1"/>
    <col min="5" max="5" width="6.85546875" customWidth="1"/>
    <col min="6" max="6" width="6" customWidth="1"/>
    <col min="7" max="7" width="7" customWidth="1"/>
    <col min="8" max="8" width="7.28515625" customWidth="1"/>
    <col min="9" max="9" width="8.42578125" customWidth="1"/>
    <col min="10" max="10" width="5.5703125" customWidth="1"/>
    <col min="11" max="11" width="7.85546875" customWidth="1"/>
    <col min="12" max="12" width="5.42578125" customWidth="1"/>
    <col min="13" max="13" width="6.42578125" customWidth="1"/>
    <col min="14" max="14" width="7.42578125" customWidth="1"/>
    <col min="15" max="15" width="6" customWidth="1"/>
    <col min="16" max="16" width="6.28515625" customWidth="1"/>
    <col min="17" max="17" width="8" customWidth="1"/>
    <col min="18" max="18" width="10.7109375" customWidth="1"/>
  </cols>
  <sheetData>
    <row r="1" spans="1:18" ht="15" customHeight="1">
      <c r="A1" s="50" t="s">
        <v>23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 ht="21.95" customHeight="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</row>
    <row r="3" spans="1:18" ht="15.75" thickBot="1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8" ht="29.25" thickBot="1">
      <c r="A4" s="1" t="s">
        <v>0</v>
      </c>
      <c r="B4" s="2" t="s">
        <v>1</v>
      </c>
      <c r="C4" s="56" t="s">
        <v>2</v>
      </c>
      <c r="D4" s="3" t="s">
        <v>3</v>
      </c>
      <c r="E4" s="3" t="s">
        <v>4</v>
      </c>
      <c r="F4" s="3" t="s">
        <v>6</v>
      </c>
      <c r="G4" s="3" t="s">
        <v>7</v>
      </c>
      <c r="H4" s="4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5</v>
      </c>
      <c r="N4" s="3" t="s">
        <v>13</v>
      </c>
      <c r="O4" s="5" t="s">
        <v>14</v>
      </c>
      <c r="P4" s="5" t="s">
        <v>15</v>
      </c>
      <c r="Q4" s="5" t="s">
        <v>16</v>
      </c>
      <c r="R4" s="6" t="s">
        <v>17</v>
      </c>
    </row>
    <row r="5" spans="1:18" ht="15.75" thickTop="1">
      <c r="A5" s="42" t="s">
        <v>45</v>
      </c>
      <c r="B5" s="42">
        <v>607</v>
      </c>
      <c r="C5" s="57" t="s">
        <v>46</v>
      </c>
      <c r="D5" s="18" t="s">
        <v>18</v>
      </c>
      <c r="E5" s="7">
        <v>75</v>
      </c>
      <c r="F5" s="7">
        <v>75</v>
      </c>
      <c r="G5" s="7">
        <v>100</v>
      </c>
      <c r="H5" s="7">
        <v>100</v>
      </c>
      <c r="I5" s="7">
        <v>100</v>
      </c>
      <c r="J5" s="7">
        <v>75</v>
      </c>
      <c r="K5" s="7">
        <v>75</v>
      </c>
      <c r="L5" s="7">
        <v>75</v>
      </c>
      <c r="M5" s="9">
        <v>75</v>
      </c>
      <c r="N5" s="7">
        <f>SUM(E5:M5)</f>
        <v>750</v>
      </c>
      <c r="O5" s="47">
        <f>N6/750</f>
        <v>0.21199999999999999</v>
      </c>
      <c r="P5" s="48"/>
      <c r="Q5" s="18"/>
      <c r="R5" s="20"/>
    </row>
    <row r="6" spans="1:18">
      <c r="A6" s="43"/>
      <c r="B6" s="43"/>
      <c r="C6" s="57"/>
      <c r="D6" s="19"/>
      <c r="E6" s="10">
        <v>9</v>
      </c>
      <c r="F6" s="10">
        <v>26</v>
      </c>
      <c r="G6" s="10">
        <v>25</v>
      </c>
      <c r="H6" s="10">
        <v>23</v>
      </c>
      <c r="I6" s="10" t="s">
        <v>20</v>
      </c>
      <c r="J6" s="10">
        <v>16</v>
      </c>
      <c r="K6" s="10">
        <v>29</v>
      </c>
      <c r="L6" s="10">
        <v>12</v>
      </c>
      <c r="M6" s="10">
        <v>19</v>
      </c>
      <c r="N6" s="10">
        <f>SUM(E6:M6)</f>
        <v>159</v>
      </c>
      <c r="O6" s="26"/>
      <c r="P6" s="28"/>
      <c r="Q6" s="19"/>
      <c r="R6" s="21"/>
    </row>
    <row r="7" spans="1:18">
      <c r="A7" s="43"/>
      <c r="B7" s="43"/>
      <c r="C7" s="57"/>
      <c r="D7" s="23" t="s">
        <v>19</v>
      </c>
      <c r="E7" s="11">
        <v>75</v>
      </c>
      <c r="F7" s="12">
        <v>75</v>
      </c>
      <c r="G7" s="12">
        <v>100</v>
      </c>
      <c r="H7" s="12">
        <v>100</v>
      </c>
      <c r="I7" s="12">
        <v>100</v>
      </c>
      <c r="J7" s="12">
        <v>75</v>
      </c>
      <c r="K7" s="12">
        <v>75</v>
      </c>
      <c r="L7" s="12">
        <v>75</v>
      </c>
      <c r="M7" s="12">
        <v>75</v>
      </c>
      <c r="N7" s="7">
        <f>SUM(E7:M7)</f>
        <v>750</v>
      </c>
      <c r="O7" s="25">
        <f>N8/750</f>
        <v>0.29466666666666669</v>
      </c>
      <c r="P7" s="27"/>
      <c r="Q7" s="29" t="s">
        <v>21</v>
      </c>
      <c r="R7" s="21"/>
    </row>
    <row r="8" spans="1:18">
      <c r="A8" s="43"/>
      <c r="B8" s="43"/>
      <c r="C8" s="58" t="s">
        <v>26</v>
      </c>
      <c r="D8" s="24"/>
      <c r="E8" s="10">
        <v>18</v>
      </c>
      <c r="F8" s="10">
        <v>31</v>
      </c>
      <c r="G8" s="10">
        <v>29</v>
      </c>
      <c r="H8" s="10">
        <v>21</v>
      </c>
      <c r="I8" s="10">
        <v>50</v>
      </c>
      <c r="J8" s="10">
        <v>20</v>
      </c>
      <c r="K8" s="10">
        <v>14</v>
      </c>
      <c r="L8" s="10">
        <v>14</v>
      </c>
      <c r="M8" s="10">
        <v>24</v>
      </c>
      <c r="N8" s="10">
        <f>SUM(E8:M8)</f>
        <v>221</v>
      </c>
      <c r="O8" s="26"/>
      <c r="P8" s="28"/>
      <c r="Q8" s="30"/>
      <c r="R8" s="21"/>
    </row>
    <row r="9" spans="1:18">
      <c r="A9" s="43"/>
      <c r="B9" s="43"/>
      <c r="C9" s="57" t="s">
        <v>47</v>
      </c>
      <c r="D9" s="31" t="s">
        <v>22</v>
      </c>
      <c r="E9" s="11">
        <v>150</v>
      </c>
      <c r="F9" s="12">
        <v>150</v>
      </c>
      <c r="G9" s="12">
        <v>200</v>
      </c>
      <c r="H9" s="12">
        <v>200</v>
      </c>
      <c r="I9" s="12">
        <v>200</v>
      </c>
      <c r="J9" s="12">
        <v>150</v>
      </c>
      <c r="K9" s="12">
        <v>150</v>
      </c>
      <c r="L9" s="12">
        <v>150</v>
      </c>
      <c r="M9" s="12">
        <v>150</v>
      </c>
      <c r="N9" s="7">
        <f>SUM(E9:M9)</f>
        <v>1500</v>
      </c>
      <c r="O9" s="33">
        <f>N10/1500</f>
        <v>0.25333333333333335</v>
      </c>
      <c r="P9" s="36"/>
      <c r="Q9" s="39"/>
      <c r="R9" s="21"/>
    </row>
    <row r="10" spans="1:18">
      <c r="A10" s="43"/>
      <c r="B10" s="43"/>
      <c r="C10" s="57"/>
      <c r="D10" s="32"/>
      <c r="E10" s="10">
        <f>SUM(E8,E6)</f>
        <v>27</v>
      </c>
      <c r="F10" s="10">
        <f t="shared" ref="F10:N10" si="0">SUM(F6,F8)</f>
        <v>57</v>
      </c>
      <c r="G10" s="10">
        <f t="shared" si="0"/>
        <v>54</v>
      </c>
      <c r="H10" s="10">
        <f t="shared" si="0"/>
        <v>44</v>
      </c>
      <c r="I10" s="10">
        <f t="shared" si="0"/>
        <v>50</v>
      </c>
      <c r="J10" s="10">
        <f t="shared" si="0"/>
        <v>36</v>
      </c>
      <c r="K10" s="10">
        <f t="shared" si="0"/>
        <v>43</v>
      </c>
      <c r="L10" s="10">
        <f t="shared" si="0"/>
        <v>26</v>
      </c>
      <c r="M10" s="10">
        <f t="shared" ref="M10" si="1">SUM(M6,M8)</f>
        <v>43</v>
      </c>
      <c r="N10" s="27">
        <f t="shared" si="0"/>
        <v>380</v>
      </c>
      <c r="O10" s="34"/>
      <c r="P10" s="37"/>
      <c r="Q10" s="40"/>
      <c r="R10" s="21"/>
    </row>
    <row r="11" spans="1:18" ht="15.75" thickBot="1">
      <c r="A11" s="44"/>
      <c r="B11" s="44"/>
      <c r="C11" s="57"/>
      <c r="D11" s="13" t="s">
        <v>14</v>
      </c>
      <c r="E11" s="14">
        <f>E10 / E9</f>
        <v>0.18</v>
      </c>
      <c r="F11" s="14">
        <f t="shared" ref="F11:L11" si="2">F10 / F9</f>
        <v>0.38</v>
      </c>
      <c r="G11" s="14">
        <f t="shared" si="2"/>
        <v>0.27</v>
      </c>
      <c r="H11" s="14">
        <f t="shared" si="2"/>
        <v>0.22</v>
      </c>
      <c r="I11" s="14">
        <f t="shared" si="2"/>
        <v>0.25</v>
      </c>
      <c r="J11" s="14">
        <f t="shared" si="2"/>
        <v>0.24</v>
      </c>
      <c r="K11" s="14">
        <f t="shared" si="2"/>
        <v>0.28666666666666668</v>
      </c>
      <c r="L11" s="14">
        <f t="shared" si="2"/>
        <v>0.17333333333333334</v>
      </c>
      <c r="M11" s="14">
        <f t="shared" ref="M11" si="3">M10 / M9</f>
        <v>0.28666666666666668</v>
      </c>
      <c r="N11" s="49"/>
      <c r="O11" s="35"/>
      <c r="P11" s="38"/>
      <c r="Q11" s="41"/>
      <c r="R11" s="22"/>
    </row>
    <row r="12" spans="1:18" ht="15.75" thickBo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spans="1:18" ht="29.25" thickBot="1">
      <c r="A13" s="1" t="s">
        <v>0</v>
      </c>
      <c r="B13" s="2" t="s">
        <v>1</v>
      </c>
      <c r="C13" s="56" t="s">
        <v>2</v>
      </c>
      <c r="D13" s="3" t="s">
        <v>3</v>
      </c>
      <c r="E13" s="3" t="s">
        <v>4</v>
      </c>
      <c r="F13" s="3" t="s">
        <v>6</v>
      </c>
      <c r="G13" s="3" t="s">
        <v>7</v>
      </c>
      <c r="H13" s="4" t="s">
        <v>8</v>
      </c>
      <c r="I13" s="3" t="s">
        <v>9</v>
      </c>
      <c r="J13" s="3" t="s">
        <v>10</v>
      </c>
      <c r="K13" s="3" t="s">
        <v>11</v>
      </c>
      <c r="L13" s="3" t="s">
        <v>12</v>
      </c>
      <c r="M13" s="3" t="s">
        <v>5</v>
      </c>
      <c r="N13" s="3" t="s">
        <v>13</v>
      </c>
      <c r="O13" s="5" t="s">
        <v>14</v>
      </c>
      <c r="P13" s="5" t="s">
        <v>15</v>
      </c>
      <c r="Q13" s="5" t="s">
        <v>16</v>
      </c>
      <c r="R13" s="6" t="s">
        <v>17</v>
      </c>
    </row>
    <row r="14" spans="1:18" ht="15.75" thickTop="1">
      <c r="A14" s="42" t="s">
        <v>48</v>
      </c>
      <c r="B14" s="42">
        <v>608</v>
      </c>
      <c r="C14" s="57" t="s">
        <v>49</v>
      </c>
      <c r="D14" s="18" t="s">
        <v>18</v>
      </c>
      <c r="E14" s="7">
        <v>75</v>
      </c>
      <c r="F14" s="7">
        <v>75</v>
      </c>
      <c r="G14" s="7">
        <v>100</v>
      </c>
      <c r="H14" s="7">
        <v>100</v>
      </c>
      <c r="I14" s="7">
        <v>100</v>
      </c>
      <c r="J14" s="7">
        <v>75</v>
      </c>
      <c r="K14" s="7">
        <v>75</v>
      </c>
      <c r="L14" s="7">
        <v>75</v>
      </c>
      <c r="M14" s="9">
        <v>75</v>
      </c>
      <c r="N14" s="7">
        <f>SUM(E14:M14)</f>
        <v>750</v>
      </c>
      <c r="O14" s="47">
        <f>N15/750</f>
        <v>0.59466666666666668</v>
      </c>
      <c r="P14" s="48" t="s">
        <v>96</v>
      </c>
      <c r="Q14" s="18"/>
      <c r="R14" s="20"/>
    </row>
    <row r="15" spans="1:18">
      <c r="A15" s="43"/>
      <c r="B15" s="43"/>
      <c r="C15" s="57"/>
      <c r="D15" s="19"/>
      <c r="E15" s="10">
        <v>50</v>
      </c>
      <c r="F15" s="10">
        <v>28</v>
      </c>
      <c r="G15" s="10">
        <v>66</v>
      </c>
      <c r="H15" s="10">
        <v>58</v>
      </c>
      <c r="I15" s="10">
        <v>86</v>
      </c>
      <c r="J15" s="10">
        <v>46</v>
      </c>
      <c r="K15" s="10">
        <v>39</v>
      </c>
      <c r="L15" s="10">
        <v>24</v>
      </c>
      <c r="M15" s="10">
        <v>49</v>
      </c>
      <c r="N15" s="10">
        <f>SUM(E15:M15)</f>
        <v>446</v>
      </c>
      <c r="O15" s="26"/>
      <c r="P15" s="28"/>
      <c r="Q15" s="19"/>
      <c r="R15" s="21"/>
    </row>
    <row r="16" spans="1:18">
      <c r="A16" s="43"/>
      <c r="B16" s="43"/>
      <c r="C16" s="57"/>
      <c r="D16" s="23" t="s">
        <v>19</v>
      </c>
      <c r="E16" s="11">
        <v>75</v>
      </c>
      <c r="F16" s="12">
        <v>75</v>
      </c>
      <c r="G16" s="12">
        <v>100</v>
      </c>
      <c r="H16" s="12">
        <v>100</v>
      </c>
      <c r="I16" s="12">
        <v>100</v>
      </c>
      <c r="J16" s="12">
        <v>75</v>
      </c>
      <c r="K16" s="12">
        <v>75</v>
      </c>
      <c r="L16" s="12">
        <v>75</v>
      </c>
      <c r="M16" s="12">
        <v>75</v>
      </c>
      <c r="N16" s="7">
        <f>SUM(E16:M16)</f>
        <v>750</v>
      </c>
      <c r="O16" s="25">
        <f>N17/750</f>
        <v>0.79733333333333334</v>
      </c>
      <c r="P16" s="27" t="s">
        <v>20</v>
      </c>
      <c r="Q16" s="29" t="s">
        <v>21</v>
      </c>
      <c r="R16" s="21"/>
    </row>
    <row r="17" spans="1:18">
      <c r="A17" s="43"/>
      <c r="B17" s="43"/>
      <c r="C17" s="58" t="s">
        <v>26</v>
      </c>
      <c r="D17" s="24"/>
      <c r="E17" s="10">
        <v>62</v>
      </c>
      <c r="F17" s="10">
        <v>60</v>
      </c>
      <c r="G17" s="10">
        <v>80</v>
      </c>
      <c r="H17" s="10">
        <v>77</v>
      </c>
      <c r="I17" s="10">
        <v>90</v>
      </c>
      <c r="J17" s="10">
        <v>57</v>
      </c>
      <c r="K17" s="10">
        <v>59</v>
      </c>
      <c r="L17" s="10">
        <v>53</v>
      </c>
      <c r="M17" s="10">
        <v>60</v>
      </c>
      <c r="N17" s="10">
        <f>SUM(E17:M17)</f>
        <v>598</v>
      </c>
      <c r="O17" s="26"/>
      <c r="P17" s="28"/>
      <c r="Q17" s="30"/>
      <c r="R17" s="21"/>
    </row>
    <row r="18" spans="1:18">
      <c r="A18" s="43"/>
      <c r="B18" s="43"/>
      <c r="C18" s="57" t="s">
        <v>50</v>
      </c>
      <c r="D18" s="31" t="s">
        <v>22</v>
      </c>
      <c r="E18" s="11">
        <v>150</v>
      </c>
      <c r="F18" s="12">
        <v>150</v>
      </c>
      <c r="G18" s="12">
        <v>200</v>
      </c>
      <c r="H18" s="12">
        <v>200</v>
      </c>
      <c r="I18" s="12">
        <v>200</v>
      </c>
      <c r="J18" s="12">
        <v>150</v>
      </c>
      <c r="K18" s="12">
        <v>150</v>
      </c>
      <c r="L18" s="12">
        <v>150</v>
      </c>
      <c r="M18" s="12">
        <v>150</v>
      </c>
      <c r="N18" s="7">
        <f>SUM(E18:M18)</f>
        <v>1500</v>
      </c>
      <c r="O18" s="33">
        <f>N19/1500</f>
        <v>0.69599999999999995</v>
      </c>
      <c r="P18" s="36" t="s">
        <v>38</v>
      </c>
      <c r="Q18" s="39"/>
      <c r="R18" s="21"/>
    </row>
    <row r="19" spans="1:18">
      <c r="A19" s="43"/>
      <c r="B19" s="43"/>
      <c r="C19" s="57"/>
      <c r="D19" s="32"/>
      <c r="E19" s="10">
        <f>SUM(E17,E15)</f>
        <v>112</v>
      </c>
      <c r="F19" s="10">
        <f t="shared" ref="F19:N19" si="4">SUM(F15,F17)</f>
        <v>88</v>
      </c>
      <c r="G19" s="10">
        <f t="shared" si="4"/>
        <v>146</v>
      </c>
      <c r="H19" s="10">
        <f t="shared" si="4"/>
        <v>135</v>
      </c>
      <c r="I19" s="10">
        <f t="shared" si="4"/>
        <v>176</v>
      </c>
      <c r="J19" s="10">
        <f t="shared" si="4"/>
        <v>103</v>
      </c>
      <c r="K19" s="10">
        <f t="shared" si="4"/>
        <v>98</v>
      </c>
      <c r="L19" s="10">
        <f t="shared" si="4"/>
        <v>77</v>
      </c>
      <c r="M19" s="10">
        <f t="shared" ref="M19" si="5">SUM(M15,M17)</f>
        <v>109</v>
      </c>
      <c r="N19" s="27">
        <f t="shared" si="4"/>
        <v>1044</v>
      </c>
      <c r="O19" s="34"/>
      <c r="P19" s="37"/>
      <c r="Q19" s="40"/>
      <c r="R19" s="21"/>
    </row>
    <row r="20" spans="1:18" ht="15.75" thickBot="1">
      <c r="A20" s="44"/>
      <c r="B20" s="44"/>
      <c r="C20" s="57"/>
      <c r="D20" s="13" t="s">
        <v>14</v>
      </c>
      <c r="E20" s="14">
        <f>E19 / E18</f>
        <v>0.7466666666666667</v>
      </c>
      <c r="F20" s="14">
        <f t="shared" ref="F20:L20" si="6">F19 / F18</f>
        <v>0.58666666666666667</v>
      </c>
      <c r="G20" s="14">
        <f t="shared" si="6"/>
        <v>0.73</v>
      </c>
      <c r="H20" s="14">
        <f t="shared" si="6"/>
        <v>0.67500000000000004</v>
      </c>
      <c r="I20" s="14">
        <f t="shared" si="6"/>
        <v>0.88</v>
      </c>
      <c r="J20" s="14">
        <f t="shared" si="6"/>
        <v>0.68666666666666665</v>
      </c>
      <c r="K20" s="14">
        <f t="shared" si="6"/>
        <v>0.65333333333333332</v>
      </c>
      <c r="L20" s="14">
        <f t="shared" si="6"/>
        <v>0.51333333333333331</v>
      </c>
      <c r="M20" s="14">
        <f t="shared" ref="M20" si="7">M19 / M18</f>
        <v>0.72666666666666668</v>
      </c>
      <c r="N20" s="49"/>
      <c r="O20" s="35"/>
      <c r="P20" s="38"/>
      <c r="Q20" s="41"/>
      <c r="R20" s="22"/>
    </row>
    <row r="21" spans="1:18" ht="15.75" thickBot="1"/>
    <row r="22" spans="1:18" ht="29.25" thickBot="1">
      <c r="A22" s="1" t="s">
        <v>0</v>
      </c>
      <c r="B22" s="2" t="s">
        <v>1</v>
      </c>
      <c r="C22" s="56" t="s">
        <v>2</v>
      </c>
      <c r="D22" s="3" t="s">
        <v>3</v>
      </c>
      <c r="E22" s="3" t="s">
        <v>4</v>
      </c>
      <c r="F22" s="3" t="s">
        <v>6</v>
      </c>
      <c r="G22" s="3" t="s">
        <v>7</v>
      </c>
      <c r="H22" s="4" t="s">
        <v>8</v>
      </c>
      <c r="I22" s="3" t="s">
        <v>9</v>
      </c>
      <c r="J22" s="3" t="s">
        <v>10</v>
      </c>
      <c r="K22" s="3" t="s">
        <v>11</v>
      </c>
      <c r="L22" s="3" t="s">
        <v>12</v>
      </c>
      <c r="M22" s="3" t="s">
        <v>5</v>
      </c>
      <c r="N22" s="3" t="s">
        <v>13</v>
      </c>
      <c r="O22" s="5" t="s">
        <v>14</v>
      </c>
      <c r="P22" s="5" t="s">
        <v>15</v>
      </c>
      <c r="Q22" s="5" t="s">
        <v>16</v>
      </c>
      <c r="R22" s="6" t="s">
        <v>17</v>
      </c>
    </row>
    <row r="23" spans="1:18" ht="15.75" thickTop="1">
      <c r="A23" s="42" t="s">
        <v>51</v>
      </c>
      <c r="B23" s="42">
        <v>609</v>
      </c>
      <c r="C23" s="57" t="s">
        <v>53</v>
      </c>
      <c r="D23" s="18" t="s">
        <v>18</v>
      </c>
      <c r="E23" s="7">
        <v>75</v>
      </c>
      <c r="F23" s="7">
        <v>75</v>
      </c>
      <c r="G23" s="7">
        <v>100</v>
      </c>
      <c r="H23" s="7">
        <v>100</v>
      </c>
      <c r="I23" s="7">
        <v>100</v>
      </c>
      <c r="J23" s="7">
        <v>75</v>
      </c>
      <c r="K23" s="7">
        <v>75</v>
      </c>
      <c r="L23" s="7">
        <v>75</v>
      </c>
      <c r="M23" s="9">
        <v>75</v>
      </c>
      <c r="N23" s="7">
        <f>SUM(E23:M23)</f>
        <v>750</v>
      </c>
      <c r="O23" s="47">
        <f>N24/750</f>
        <v>0.67333333333333334</v>
      </c>
      <c r="P23" s="48" t="s">
        <v>38</v>
      </c>
      <c r="Q23" s="18"/>
      <c r="R23" s="20"/>
    </row>
    <row r="24" spans="1:18">
      <c r="A24" s="43"/>
      <c r="B24" s="43"/>
      <c r="C24" s="57"/>
      <c r="D24" s="19"/>
      <c r="E24" s="10">
        <v>43</v>
      </c>
      <c r="F24" s="10">
        <v>52</v>
      </c>
      <c r="G24" s="10">
        <v>88</v>
      </c>
      <c r="H24" s="10">
        <v>72</v>
      </c>
      <c r="I24" s="10">
        <v>76</v>
      </c>
      <c r="J24" s="10">
        <v>45</v>
      </c>
      <c r="K24" s="10">
        <v>46</v>
      </c>
      <c r="L24" s="10">
        <v>45</v>
      </c>
      <c r="M24" s="10">
        <v>38</v>
      </c>
      <c r="N24" s="10">
        <f>SUM(E24:M24)</f>
        <v>505</v>
      </c>
      <c r="O24" s="26"/>
      <c r="P24" s="28"/>
      <c r="Q24" s="19"/>
      <c r="R24" s="21"/>
    </row>
    <row r="25" spans="1:18">
      <c r="A25" s="43"/>
      <c r="B25" s="43"/>
      <c r="C25" s="57"/>
      <c r="D25" s="23" t="s">
        <v>19</v>
      </c>
      <c r="E25" s="11">
        <v>75</v>
      </c>
      <c r="F25" s="12">
        <v>75</v>
      </c>
      <c r="G25" s="12">
        <v>100</v>
      </c>
      <c r="H25" s="12">
        <v>100</v>
      </c>
      <c r="I25" s="12">
        <v>100</v>
      </c>
      <c r="J25" s="12">
        <v>75</v>
      </c>
      <c r="K25" s="12">
        <v>75</v>
      </c>
      <c r="L25" s="12">
        <v>75</v>
      </c>
      <c r="M25" s="12">
        <v>75</v>
      </c>
      <c r="N25" s="7">
        <f>SUM(E25:M25)</f>
        <v>750</v>
      </c>
      <c r="O25" s="25">
        <f>N26/750</f>
        <v>0.67600000000000005</v>
      </c>
      <c r="P25" s="27" t="s">
        <v>38</v>
      </c>
      <c r="Q25" s="29" t="s">
        <v>21</v>
      </c>
      <c r="R25" s="21"/>
    </row>
    <row r="26" spans="1:18">
      <c r="A26" s="43"/>
      <c r="B26" s="43"/>
      <c r="C26" s="58" t="s">
        <v>26</v>
      </c>
      <c r="D26" s="24"/>
      <c r="E26" s="10">
        <v>50</v>
      </c>
      <c r="F26" s="10">
        <v>46</v>
      </c>
      <c r="G26" s="10">
        <v>85</v>
      </c>
      <c r="H26" s="10">
        <v>62</v>
      </c>
      <c r="I26" s="10">
        <v>74</v>
      </c>
      <c r="J26" s="10">
        <v>51</v>
      </c>
      <c r="K26" s="10">
        <v>45</v>
      </c>
      <c r="L26" s="10">
        <v>50</v>
      </c>
      <c r="M26" s="10">
        <v>44</v>
      </c>
      <c r="N26" s="10">
        <f>SUM(E26:M26)</f>
        <v>507</v>
      </c>
      <c r="O26" s="26"/>
      <c r="P26" s="28"/>
      <c r="Q26" s="30"/>
      <c r="R26" s="21"/>
    </row>
    <row r="27" spans="1:18">
      <c r="A27" s="43"/>
      <c r="B27" s="43"/>
      <c r="C27" s="57" t="s">
        <v>52</v>
      </c>
      <c r="D27" s="31" t="s">
        <v>22</v>
      </c>
      <c r="E27" s="11">
        <v>150</v>
      </c>
      <c r="F27" s="12">
        <v>150</v>
      </c>
      <c r="G27" s="12">
        <v>200</v>
      </c>
      <c r="H27" s="12">
        <v>200</v>
      </c>
      <c r="I27" s="12">
        <v>200</v>
      </c>
      <c r="J27" s="12">
        <v>150</v>
      </c>
      <c r="K27" s="12">
        <v>150</v>
      </c>
      <c r="L27" s="12">
        <v>150</v>
      </c>
      <c r="M27" s="12">
        <v>150</v>
      </c>
      <c r="N27" s="7">
        <f>SUM(E27:M27)</f>
        <v>1500</v>
      </c>
      <c r="O27" s="33">
        <f>N28/1500</f>
        <v>0.67466666666666664</v>
      </c>
      <c r="P27" s="36" t="s">
        <v>38</v>
      </c>
      <c r="Q27" s="39"/>
      <c r="R27" s="21"/>
    </row>
    <row r="28" spans="1:18">
      <c r="A28" s="43"/>
      <c r="B28" s="43"/>
      <c r="C28" s="57"/>
      <c r="D28" s="32"/>
      <c r="E28" s="10">
        <f>SUM(E26,E24)</f>
        <v>93</v>
      </c>
      <c r="F28" s="10">
        <f t="shared" ref="F28:N28" si="8">SUM(F24,F26)</f>
        <v>98</v>
      </c>
      <c r="G28" s="10">
        <f t="shared" si="8"/>
        <v>173</v>
      </c>
      <c r="H28" s="10">
        <f t="shared" si="8"/>
        <v>134</v>
      </c>
      <c r="I28" s="10">
        <f t="shared" si="8"/>
        <v>150</v>
      </c>
      <c r="J28" s="10">
        <f t="shared" si="8"/>
        <v>96</v>
      </c>
      <c r="K28" s="10">
        <f t="shared" si="8"/>
        <v>91</v>
      </c>
      <c r="L28" s="10">
        <f t="shared" si="8"/>
        <v>95</v>
      </c>
      <c r="M28" s="10">
        <f t="shared" ref="M28" si="9">SUM(M24,M26)</f>
        <v>82</v>
      </c>
      <c r="N28" s="27">
        <f t="shared" si="8"/>
        <v>1012</v>
      </c>
      <c r="O28" s="34"/>
      <c r="P28" s="37"/>
      <c r="Q28" s="40"/>
      <c r="R28" s="21"/>
    </row>
    <row r="29" spans="1:18" ht="15.75" thickBot="1">
      <c r="A29" s="44"/>
      <c r="B29" s="44"/>
      <c r="C29" s="57"/>
      <c r="D29" s="13" t="s">
        <v>14</v>
      </c>
      <c r="E29" s="14">
        <f>E28 / E27</f>
        <v>0.62</v>
      </c>
      <c r="F29" s="14">
        <f t="shared" ref="F29:L29" si="10">F28 / F27</f>
        <v>0.65333333333333332</v>
      </c>
      <c r="G29" s="14">
        <f t="shared" si="10"/>
        <v>0.86499999999999999</v>
      </c>
      <c r="H29" s="14">
        <f t="shared" si="10"/>
        <v>0.67</v>
      </c>
      <c r="I29" s="14">
        <f t="shared" si="10"/>
        <v>0.75</v>
      </c>
      <c r="J29" s="14">
        <f t="shared" si="10"/>
        <v>0.64</v>
      </c>
      <c r="K29" s="14">
        <f t="shared" si="10"/>
        <v>0.60666666666666669</v>
      </c>
      <c r="L29" s="14">
        <f t="shared" si="10"/>
        <v>0.6333333333333333</v>
      </c>
      <c r="M29" s="14">
        <f t="shared" ref="M29" si="11">M28 / M27</f>
        <v>0.54666666666666663</v>
      </c>
      <c r="N29" s="49"/>
      <c r="O29" s="35"/>
      <c r="P29" s="38"/>
      <c r="Q29" s="41"/>
      <c r="R29" s="22"/>
    </row>
    <row r="30" spans="1:18">
      <c r="K30" s="17"/>
      <c r="L30" s="17"/>
      <c r="M30" s="16"/>
    </row>
  </sheetData>
  <mergeCells count="55">
    <mergeCell ref="A1:R3"/>
    <mergeCell ref="A5:A11"/>
    <mergeCell ref="B5:B11"/>
    <mergeCell ref="D5:D6"/>
    <mergeCell ref="O5:O6"/>
    <mergeCell ref="P5:P6"/>
    <mergeCell ref="Q5:Q6"/>
    <mergeCell ref="R5:R11"/>
    <mergeCell ref="D7:D8"/>
    <mergeCell ref="C5:C7"/>
    <mergeCell ref="C9:C11"/>
    <mergeCell ref="O7:O8"/>
    <mergeCell ref="P7:P8"/>
    <mergeCell ref="Q7:Q8"/>
    <mergeCell ref="D9:D10"/>
    <mergeCell ref="O9:O11"/>
    <mergeCell ref="P9:P11"/>
    <mergeCell ref="Q9:Q11"/>
    <mergeCell ref="N10:N11"/>
    <mergeCell ref="A14:A20"/>
    <mergeCell ref="B14:B20"/>
    <mergeCell ref="D14:D15"/>
    <mergeCell ref="O14:O15"/>
    <mergeCell ref="N19:N20"/>
    <mergeCell ref="C14:C16"/>
    <mergeCell ref="C18:C20"/>
    <mergeCell ref="Q14:Q15"/>
    <mergeCell ref="R14:R20"/>
    <mergeCell ref="D16:D17"/>
    <mergeCell ref="O16:O17"/>
    <mergeCell ref="P16:P17"/>
    <mergeCell ref="Q16:Q17"/>
    <mergeCell ref="D18:D19"/>
    <mergeCell ref="O18:O20"/>
    <mergeCell ref="P18:P20"/>
    <mergeCell ref="Q18:Q20"/>
    <mergeCell ref="P14:P15"/>
    <mergeCell ref="A23:A29"/>
    <mergeCell ref="B23:B29"/>
    <mergeCell ref="D23:D24"/>
    <mergeCell ref="O23:O24"/>
    <mergeCell ref="N28:N29"/>
    <mergeCell ref="C23:C25"/>
    <mergeCell ref="C27:C29"/>
    <mergeCell ref="Q23:Q24"/>
    <mergeCell ref="R23:R29"/>
    <mergeCell ref="D25:D26"/>
    <mergeCell ref="O25:O26"/>
    <mergeCell ref="P25:P26"/>
    <mergeCell ref="Q25:Q26"/>
    <mergeCell ref="D27:D28"/>
    <mergeCell ref="O27:O29"/>
    <mergeCell ref="P27:P29"/>
    <mergeCell ref="Q27:Q29"/>
    <mergeCell ref="P23:P24"/>
  </mergeCells>
  <pageMargins left="0.25" right="0.25" top="0.75" bottom="0.75" header="0.3" footer="0.3"/>
  <pageSetup scale="9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1"/>
  <sheetViews>
    <sheetView view="pageBreakPreview" zoomScale="130" zoomScaleNormal="145" zoomScaleSheetLayoutView="130" workbookViewId="0">
      <selection activeCell="P30" sqref="P30"/>
    </sheetView>
  </sheetViews>
  <sheetFormatPr defaultRowHeight="15"/>
  <cols>
    <col min="1" max="1" width="4.140625" customWidth="1"/>
    <col min="2" max="2" width="5.85546875" customWidth="1"/>
    <col min="3" max="3" width="16.140625" customWidth="1"/>
    <col min="5" max="5" width="6.85546875" customWidth="1"/>
    <col min="6" max="6" width="6" customWidth="1"/>
    <col min="7" max="7" width="7" customWidth="1"/>
    <col min="8" max="8" width="7.28515625" customWidth="1"/>
    <col min="9" max="9" width="8.42578125" customWidth="1"/>
    <col min="10" max="10" width="5.5703125" customWidth="1"/>
    <col min="11" max="11" width="7.85546875" customWidth="1"/>
    <col min="12" max="12" width="5.42578125" customWidth="1"/>
    <col min="13" max="13" width="6.42578125" customWidth="1"/>
    <col min="14" max="14" width="7.42578125" customWidth="1"/>
    <col min="15" max="15" width="6" customWidth="1"/>
    <col min="16" max="16" width="6.28515625" customWidth="1"/>
    <col min="17" max="17" width="8" customWidth="1"/>
    <col min="18" max="18" width="10.7109375" customWidth="1"/>
  </cols>
  <sheetData>
    <row r="1" spans="1:18" ht="15" customHeight="1">
      <c r="A1" s="50" t="s">
        <v>23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</row>
    <row r="3" spans="1:18" ht="29.1" customHeight="1" thickBot="1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8" ht="29.25" thickBot="1">
      <c r="A4" s="1" t="s">
        <v>0</v>
      </c>
      <c r="B4" s="2" t="s">
        <v>1</v>
      </c>
      <c r="C4" s="56" t="s">
        <v>2</v>
      </c>
      <c r="D4" s="3" t="s">
        <v>3</v>
      </c>
      <c r="E4" s="3" t="s">
        <v>4</v>
      </c>
      <c r="F4" s="3" t="s">
        <v>6</v>
      </c>
      <c r="G4" s="3" t="s">
        <v>7</v>
      </c>
      <c r="H4" s="4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5</v>
      </c>
      <c r="N4" s="3" t="s">
        <v>13</v>
      </c>
      <c r="O4" s="5" t="s">
        <v>14</v>
      </c>
      <c r="P4" s="5" t="s">
        <v>15</v>
      </c>
      <c r="Q4" s="5" t="s">
        <v>16</v>
      </c>
      <c r="R4" s="6" t="s">
        <v>17</v>
      </c>
    </row>
    <row r="5" spans="1:18" ht="15.75" thickTop="1">
      <c r="A5" s="42" t="s">
        <v>54</v>
      </c>
      <c r="B5" s="42">
        <v>610</v>
      </c>
      <c r="C5" s="57" t="s">
        <v>55</v>
      </c>
      <c r="D5" s="18" t="s">
        <v>18</v>
      </c>
      <c r="E5" s="7">
        <v>75</v>
      </c>
      <c r="F5" s="7">
        <v>75</v>
      </c>
      <c r="G5" s="7">
        <v>100</v>
      </c>
      <c r="H5" s="7">
        <v>100</v>
      </c>
      <c r="I5" s="7">
        <v>100</v>
      </c>
      <c r="J5" s="7">
        <v>75</v>
      </c>
      <c r="K5" s="7">
        <v>75</v>
      </c>
      <c r="L5" s="7">
        <v>75</v>
      </c>
      <c r="M5" s="9">
        <v>75</v>
      </c>
      <c r="N5" s="7">
        <f>SUM(E5:M5)</f>
        <v>750</v>
      </c>
      <c r="O5" s="47">
        <f>N6/750</f>
        <v>0.92933333333333334</v>
      </c>
      <c r="P5" s="48" t="s">
        <v>97</v>
      </c>
      <c r="Q5" s="18"/>
      <c r="R5" s="20"/>
    </row>
    <row r="6" spans="1:18">
      <c r="A6" s="43"/>
      <c r="B6" s="43"/>
      <c r="C6" s="57"/>
      <c r="D6" s="19"/>
      <c r="E6" s="10">
        <v>66</v>
      </c>
      <c r="F6" s="10">
        <v>70</v>
      </c>
      <c r="G6" s="10">
        <v>99</v>
      </c>
      <c r="H6" s="10">
        <v>99</v>
      </c>
      <c r="I6" s="10">
        <v>91</v>
      </c>
      <c r="J6" s="10">
        <v>74</v>
      </c>
      <c r="K6" s="10">
        <v>69</v>
      </c>
      <c r="L6" s="10">
        <v>66</v>
      </c>
      <c r="M6" s="10">
        <v>63</v>
      </c>
      <c r="N6" s="10">
        <f>SUM(E6:M6)</f>
        <v>697</v>
      </c>
      <c r="O6" s="26"/>
      <c r="P6" s="28"/>
      <c r="Q6" s="19"/>
      <c r="R6" s="21"/>
    </row>
    <row r="7" spans="1:18">
      <c r="A7" s="43"/>
      <c r="B7" s="43"/>
      <c r="C7" s="57"/>
      <c r="D7" s="23" t="s">
        <v>19</v>
      </c>
      <c r="E7" s="11">
        <v>75</v>
      </c>
      <c r="F7" s="12">
        <v>75</v>
      </c>
      <c r="G7" s="12">
        <v>100</v>
      </c>
      <c r="H7" s="12">
        <v>100</v>
      </c>
      <c r="I7" s="12">
        <v>100</v>
      </c>
      <c r="J7" s="12">
        <v>75</v>
      </c>
      <c r="K7" s="12">
        <v>75</v>
      </c>
      <c r="L7" s="12">
        <v>75</v>
      </c>
      <c r="M7" s="12">
        <v>75</v>
      </c>
      <c r="N7" s="7">
        <f>SUM(E7:M7)</f>
        <v>750</v>
      </c>
      <c r="O7" s="25">
        <f>N8/750</f>
        <v>0.92400000000000004</v>
      </c>
      <c r="P7" s="27" t="s">
        <v>97</v>
      </c>
      <c r="Q7" s="29" t="s">
        <v>21</v>
      </c>
      <c r="R7" s="21"/>
    </row>
    <row r="8" spans="1:18">
      <c r="A8" s="43"/>
      <c r="B8" s="43"/>
      <c r="C8" s="58" t="s">
        <v>26</v>
      </c>
      <c r="D8" s="24"/>
      <c r="E8" s="10">
        <v>66</v>
      </c>
      <c r="F8" s="10">
        <v>71</v>
      </c>
      <c r="G8" s="10">
        <v>95</v>
      </c>
      <c r="H8" s="10">
        <v>95</v>
      </c>
      <c r="I8" s="10">
        <v>88</v>
      </c>
      <c r="J8" s="10">
        <v>74</v>
      </c>
      <c r="K8" s="10">
        <v>67</v>
      </c>
      <c r="L8" s="10">
        <v>68</v>
      </c>
      <c r="M8" s="10">
        <v>69</v>
      </c>
      <c r="N8" s="10">
        <f>SUM(E8:M8)</f>
        <v>693</v>
      </c>
      <c r="O8" s="26"/>
      <c r="P8" s="28"/>
      <c r="Q8" s="30"/>
      <c r="R8" s="21"/>
    </row>
    <row r="9" spans="1:18">
      <c r="A9" s="43"/>
      <c r="B9" s="43"/>
      <c r="C9" s="57" t="s">
        <v>56</v>
      </c>
      <c r="D9" s="31" t="s">
        <v>22</v>
      </c>
      <c r="E9" s="11">
        <v>150</v>
      </c>
      <c r="F9" s="12">
        <v>150</v>
      </c>
      <c r="G9" s="12">
        <v>200</v>
      </c>
      <c r="H9" s="12">
        <v>200</v>
      </c>
      <c r="I9" s="12">
        <v>200</v>
      </c>
      <c r="J9" s="12">
        <v>150</v>
      </c>
      <c r="K9" s="12">
        <v>150</v>
      </c>
      <c r="L9" s="12">
        <v>150</v>
      </c>
      <c r="M9" s="12">
        <v>150</v>
      </c>
      <c r="N9" s="7">
        <f>SUM(E9:M9)</f>
        <v>1500</v>
      </c>
      <c r="O9" s="33">
        <f>N10/1500</f>
        <v>0.92666666666666664</v>
      </c>
      <c r="P9" s="36" t="s">
        <v>97</v>
      </c>
      <c r="Q9" s="39"/>
      <c r="R9" s="21"/>
    </row>
    <row r="10" spans="1:18">
      <c r="A10" s="43"/>
      <c r="B10" s="43"/>
      <c r="C10" s="57"/>
      <c r="D10" s="32"/>
      <c r="E10" s="10">
        <f>SUM(E8,E6)</f>
        <v>132</v>
      </c>
      <c r="F10" s="10">
        <f t="shared" ref="F10:N10" si="0">SUM(F6,F8)</f>
        <v>141</v>
      </c>
      <c r="G10" s="10">
        <f t="shared" si="0"/>
        <v>194</v>
      </c>
      <c r="H10" s="10">
        <f t="shared" si="0"/>
        <v>194</v>
      </c>
      <c r="I10" s="10">
        <f t="shared" si="0"/>
        <v>179</v>
      </c>
      <c r="J10" s="10">
        <f t="shared" si="0"/>
        <v>148</v>
      </c>
      <c r="K10" s="10">
        <f t="shared" si="0"/>
        <v>136</v>
      </c>
      <c r="L10" s="10">
        <f t="shared" si="0"/>
        <v>134</v>
      </c>
      <c r="M10" s="10">
        <f t="shared" ref="M10" si="1">SUM(M6,M8)</f>
        <v>132</v>
      </c>
      <c r="N10" s="27">
        <f t="shared" si="0"/>
        <v>1390</v>
      </c>
      <c r="O10" s="34"/>
      <c r="P10" s="37"/>
      <c r="Q10" s="40"/>
      <c r="R10" s="21"/>
    </row>
    <row r="11" spans="1:18" ht="15.75" thickBot="1">
      <c r="A11" s="44"/>
      <c r="B11" s="44"/>
      <c r="C11" s="57"/>
      <c r="D11" s="13" t="s">
        <v>14</v>
      </c>
      <c r="E11" s="14">
        <f>E10 / E9</f>
        <v>0.88</v>
      </c>
      <c r="F11" s="14">
        <f t="shared" ref="F11:L11" si="2">F10 / F9</f>
        <v>0.94</v>
      </c>
      <c r="G11" s="14">
        <f t="shared" si="2"/>
        <v>0.97</v>
      </c>
      <c r="H11" s="14">
        <f t="shared" si="2"/>
        <v>0.97</v>
      </c>
      <c r="I11" s="14">
        <f t="shared" si="2"/>
        <v>0.89500000000000002</v>
      </c>
      <c r="J11" s="14">
        <f t="shared" si="2"/>
        <v>0.98666666666666669</v>
      </c>
      <c r="K11" s="14">
        <f t="shared" si="2"/>
        <v>0.90666666666666662</v>
      </c>
      <c r="L11" s="14">
        <f t="shared" si="2"/>
        <v>0.89333333333333331</v>
      </c>
      <c r="M11" s="14">
        <f t="shared" ref="M11" si="3">M10 / M9</f>
        <v>0.88</v>
      </c>
      <c r="N11" s="49"/>
      <c r="O11" s="35"/>
      <c r="P11" s="38"/>
      <c r="Q11" s="41"/>
      <c r="R11" s="22"/>
    </row>
    <row r="12" spans="1:18" ht="15.75" thickBo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spans="1:18" ht="29.25" thickBot="1">
      <c r="A13" s="1" t="s">
        <v>0</v>
      </c>
      <c r="B13" s="2" t="s">
        <v>1</v>
      </c>
      <c r="C13" s="56" t="s">
        <v>2</v>
      </c>
      <c r="D13" s="3" t="s">
        <v>3</v>
      </c>
      <c r="E13" s="3" t="s">
        <v>4</v>
      </c>
      <c r="F13" s="3" t="s">
        <v>6</v>
      </c>
      <c r="G13" s="3" t="s">
        <v>7</v>
      </c>
      <c r="H13" s="4" t="s">
        <v>8</v>
      </c>
      <c r="I13" s="3" t="s">
        <v>9</v>
      </c>
      <c r="J13" s="3" t="s">
        <v>10</v>
      </c>
      <c r="K13" s="3" t="s">
        <v>11</v>
      </c>
      <c r="L13" s="3" t="s">
        <v>12</v>
      </c>
      <c r="M13" s="3" t="s">
        <v>5</v>
      </c>
      <c r="N13" s="3" t="s">
        <v>13</v>
      </c>
      <c r="O13" s="5" t="s">
        <v>14</v>
      </c>
      <c r="P13" s="5" t="s">
        <v>15</v>
      </c>
      <c r="Q13" s="5" t="s">
        <v>16</v>
      </c>
      <c r="R13" s="6" t="s">
        <v>17</v>
      </c>
    </row>
    <row r="14" spans="1:18" ht="15.75" thickTop="1">
      <c r="A14" s="42" t="s">
        <v>57</v>
      </c>
      <c r="B14" s="42">
        <v>611</v>
      </c>
      <c r="C14" s="57" t="s">
        <v>58</v>
      </c>
      <c r="D14" s="18" t="s">
        <v>18</v>
      </c>
      <c r="E14" s="7">
        <v>75</v>
      </c>
      <c r="F14" s="7">
        <v>75</v>
      </c>
      <c r="G14" s="7">
        <v>100</v>
      </c>
      <c r="H14" s="7">
        <v>100</v>
      </c>
      <c r="I14" s="7">
        <v>100</v>
      </c>
      <c r="J14" s="7">
        <v>75</v>
      </c>
      <c r="K14" s="7">
        <v>75</v>
      </c>
      <c r="L14" s="7">
        <v>75</v>
      </c>
      <c r="M14" s="9">
        <v>75</v>
      </c>
      <c r="N14" s="7">
        <f>SUM(E14:M14)</f>
        <v>750</v>
      </c>
      <c r="O14" s="47">
        <f>N15/750</f>
        <v>0.71466666666666667</v>
      </c>
      <c r="P14" s="48" t="s">
        <v>20</v>
      </c>
      <c r="Q14" s="18"/>
      <c r="R14" s="20"/>
    </row>
    <row r="15" spans="1:18">
      <c r="A15" s="43"/>
      <c r="B15" s="43"/>
      <c r="C15" s="57"/>
      <c r="D15" s="19"/>
      <c r="E15" s="10">
        <v>38</v>
      </c>
      <c r="F15" s="10">
        <v>54</v>
      </c>
      <c r="G15" s="10">
        <v>81</v>
      </c>
      <c r="H15" s="10">
        <v>63</v>
      </c>
      <c r="I15" s="10">
        <v>92</v>
      </c>
      <c r="J15" s="10">
        <v>51</v>
      </c>
      <c r="K15" s="10">
        <v>65</v>
      </c>
      <c r="L15" s="10">
        <v>54</v>
      </c>
      <c r="M15" s="10">
        <v>38</v>
      </c>
      <c r="N15" s="10">
        <f>SUM(E15:M15)</f>
        <v>536</v>
      </c>
      <c r="O15" s="26"/>
      <c r="P15" s="28"/>
      <c r="Q15" s="19"/>
      <c r="R15" s="21"/>
    </row>
    <row r="16" spans="1:18">
      <c r="A16" s="43"/>
      <c r="B16" s="43"/>
      <c r="C16" s="57"/>
      <c r="D16" s="23" t="s">
        <v>19</v>
      </c>
      <c r="E16" s="11">
        <v>75</v>
      </c>
      <c r="F16" s="12">
        <v>75</v>
      </c>
      <c r="G16" s="12">
        <v>100</v>
      </c>
      <c r="H16" s="12">
        <v>100</v>
      </c>
      <c r="I16" s="12">
        <v>100</v>
      </c>
      <c r="J16" s="12">
        <v>75</v>
      </c>
      <c r="K16" s="12">
        <v>75</v>
      </c>
      <c r="L16" s="12">
        <v>75</v>
      </c>
      <c r="M16" s="12">
        <v>75</v>
      </c>
      <c r="N16" s="7">
        <f>SUM(E16:M16)</f>
        <v>750</v>
      </c>
      <c r="O16" s="25">
        <f>N17/750</f>
        <v>0.67733333333333334</v>
      </c>
      <c r="P16" s="27" t="s">
        <v>38</v>
      </c>
      <c r="Q16" s="29" t="s">
        <v>21</v>
      </c>
      <c r="R16" s="21"/>
    </row>
    <row r="17" spans="1:18">
      <c r="A17" s="43"/>
      <c r="B17" s="43"/>
      <c r="C17" s="58" t="s">
        <v>26</v>
      </c>
      <c r="D17" s="24"/>
      <c r="E17" s="10">
        <v>39</v>
      </c>
      <c r="F17" s="10">
        <v>54</v>
      </c>
      <c r="G17" s="10">
        <v>71</v>
      </c>
      <c r="H17" s="10">
        <v>64</v>
      </c>
      <c r="I17" s="10">
        <v>66</v>
      </c>
      <c r="J17" s="10">
        <v>53</v>
      </c>
      <c r="K17" s="10">
        <v>55</v>
      </c>
      <c r="L17" s="10">
        <v>60</v>
      </c>
      <c r="M17" s="10">
        <v>46</v>
      </c>
      <c r="N17" s="10">
        <f>SUM(E17:M17)</f>
        <v>508</v>
      </c>
      <c r="O17" s="26"/>
      <c r="P17" s="28"/>
      <c r="Q17" s="30"/>
      <c r="R17" s="21"/>
    </row>
    <row r="18" spans="1:18">
      <c r="A18" s="43"/>
      <c r="B18" s="43"/>
      <c r="C18" s="57" t="s">
        <v>59</v>
      </c>
      <c r="D18" s="31" t="s">
        <v>22</v>
      </c>
      <c r="E18" s="11">
        <v>150</v>
      </c>
      <c r="F18" s="12">
        <v>150</v>
      </c>
      <c r="G18" s="12">
        <v>200</v>
      </c>
      <c r="H18" s="12">
        <v>200</v>
      </c>
      <c r="I18" s="12">
        <v>200</v>
      </c>
      <c r="J18" s="12">
        <v>150</v>
      </c>
      <c r="K18" s="12">
        <v>150</v>
      </c>
      <c r="L18" s="12">
        <v>150</v>
      </c>
      <c r="M18" s="12">
        <v>150</v>
      </c>
      <c r="N18" s="7">
        <f>SUM(E18:M18)</f>
        <v>1500</v>
      </c>
      <c r="O18" s="33">
        <f>N19/1500</f>
        <v>0.69599999999999995</v>
      </c>
      <c r="P18" s="36" t="s">
        <v>38</v>
      </c>
      <c r="Q18" s="39"/>
      <c r="R18" s="21"/>
    </row>
    <row r="19" spans="1:18">
      <c r="A19" s="43"/>
      <c r="B19" s="43"/>
      <c r="C19" s="57"/>
      <c r="D19" s="32"/>
      <c r="E19" s="10">
        <f>SUM(E17,E15)</f>
        <v>77</v>
      </c>
      <c r="F19" s="10">
        <f t="shared" ref="F19:N19" si="4">SUM(F15,F17)</f>
        <v>108</v>
      </c>
      <c r="G19" s="10">
        <f t="shared" si="4"/>
        <v>152</v>
      </c>
      <c r="H19" s="10">
        <f t="shared" si="4"/>
        <v>127</v>
      </c>
      <c r="I19" s="10">
        <f t="shared" si="4"/>
        <v>158</v>
      </c>
      <c r="J19" s="10">
        <f t="shared" si="4"/>
        <v>104</v>
      </c>
      <c r="K19" s="10">
        <f t="shared" si="4"/>
        <v>120</v>
      </c>
      <c r="L19" s="10">
        <f t="shared" si="4"/>
        <v>114</v>
      </c>
      <c r="M19" s="10">
        <f t="shared" ref="M19" si="5">SUM(M15,M17)</f>
        <v>84</v>
      </c>
      <c r="N19" s="27">
        <f t="shared" si="4"/>
        <v>1044</v>
      </c>
      <c r="O19" s="34"/>
      <c r="P19" s="37"/>
      <c r="Q19" s="40"/>
      <c r="R19" s="21"/>
    </row>
    <row r="20" spans="1:18" ht="15.75" thickBot="1">
      <c r="A20" s="44"/>
      <c r="B20" s="44"/>
      <c r="C20" s="57"/>
      <c r="D20" s="13" t="s">
        <v>14</v>
      </c>
      <c r="E20" s="14">
        <f>E19 / E18</f>
        <v>0.51333333333333331</v>
      </c>
      <c r="F20" s="14">
        <f t="shared" ref="F20:L20" si="6">F19 / F18</f>
        <v>0.72</v>
      </c>
      <c r="G20" s="14">
        <f t="shared" si="6"/>
        <v>0.76</v>
      </c>
      <c r="H20" s="14">
        <f t="shared" si="6"/>
        <v>0.63500000000000001</v>
      </c>
      <c r="I20" s="14">
        <f t="shared" si="6"/>
        <v>0.79</v>
      </c>
      <c r="J20" s="14">
        <f t="shared" si="6"/>
        <v>0.69333333333333336</v>
      </c>
      <c r="K20" s="14">
        <f t="shared" si="6"/>
        <v>0.8</v>
      </c>
      <c r="L20" s="14">
        <f t="shared" si="6"/>
        <v>0.76</v>
      </c>
      <c r="M20" s="14">
        <f t="shared" ref="M20" si="7">M19 / M18</f>
        <v>0.56000000000000005</v>
      </c>
      <c r="N20" s="49"/>
      <c r="O20" s="35"/>
      <c r="P20" s="38"/>
      <c r="Q20" s="41"/>
      <c r="R20" s="22"/>
    </row>
    <row r="21" spans="1:18" ht="15.75" thickBot="1"/>
    <row r="22" spans="1:18" ht="29.25" thickBot="1">
      <c r="A22" s="1" t="s">
        <v>0</v>
      </c>
      <c r="B22" s="2" t="s">
        <v>1</v>
      </c>
      <c r="C22" s="56" t="s">
        <v>2</v>
      </c>
      <c r="D22" s="3" t="s">
        <v>3</v>
      </c>
      <c r="E22" s="3" t="s">
        <v>4</v>
      </c>
      <c r="F22" s="3" t="s">
        <v>6</v>
      </c>
      <c r="G22" s="3" t="s">
        <v>7</v>
      </c>
      <c r="H22" s="4" t="s">
        <v>8</v>
      </c>
      <c r="I22" s="3" t="s">
        <v>9</v>
      </c>
      <c r="J22" s="3" t="s">
        <v>10</v>
      </c>
      <c r="K22" s="3" t="s">
        <v>11</v>
      </c>
      <c r="L22" s="3" t="s">
        <v>12</v>
      </c>
      <c r="M22" s="3" t="s">
        <v>5</v>
      </c>
      <c r="N22" s="3" t="s">
        <v>13</v>
      </c>
      <c r="O22" s="5" t="s">
        <v>14</v>
      </c>
      <c r="P22" s="5" t="s">
        <v>15</v>
      </c>
      <c r="Q22" s="5" t="s">
        <v>16</v>
      </c>
      <c r="R22" s="6" t="s">
        <v>17</v>
      </c>
    </row>
    <row r="23" spans="1:18" ht="15.75" thickTop="1">
      <c r="A23" s="42" t="s">
        <v>60</v>
      </c>
      <c r="B23" s="42">
        <v>612</v>
      </c>
      <c r="C23" s="57" t="s">
        <v>61</v>
      </c>
      <c r="D23" s="18" t="s">
        <v>18</v>
      </c>
      <c r="E23" s="7">
        <v>75</v>
      </c>
      <c r="F23" s="7">
        <v>75</v>
      </c>
      <c r="G23" s="7">
        <v>100</v>
      </c>
      <c r="H23" s="7">
        <v>100</v>
      </c>
      <c r="I23" s="7">
        <v>100</v>
      </c>
      <c r="J23" s="7">
        <v>75</v>
      </c>
      <c r="K23" s="7">
        <v>75</v>
      </c>
      <c r="L23" s="7">
        <v>75</v>
      </c>
      <c r="M23" s="9">
        <v>75</v>
      </c>
      <c r="N23" s="7">
        <f>SUM(E23:M23)</f>
        <v>750</v>
      </c>
      <c r="O23" s="47">
        <f>N24/750</f>
        <v>0.60266666666666668</v>
      </c>
      <c r="P23" s="48" t="s">
        <v>38</v>
      </c>
      <c r="Q23" s="18"/>
      <c r="R23" s="20"/>
    </row>
    <row r="24" spans="1:18">
      <c r="A24" s="43"/>
      <c r="B24" s="43"/>
      <c r="C24" s="57"/>
      <c r="D24" s="19"/>
      <c r="E24" s="10">
        <v>27</v>
      </c>
      <c r="F24" s="10">
        <v>53</v>
      </c>
      <c r="G24" s="10">
        <v>76</v>
      </c>
      <c r="H24" s="10">
        <v>51</v>
      </c>
      <c r="I24" s="10">
        <v>76</v>
      </c>
      <c r="J24" s="10">
        <v>38</v>
      </c>
      <c r="K24" s="10">
        <v>57</v>
      </c>
      <c r="L24" s="10">
        <v>44</v>
      </c>
      <c r="M24" s="10">
        <v>30</v>
      </c>
      <c r="N24" s="10">
        <f>SUM(E24:M24)</f>
        <v>452</v>
      </c>
      <c r="O24" s="26"/>
      <c r="P24" s="28"/>
      <c r="Q24" s="19"/>
      <c r="R24" s="21"/>
    </row>
    <row r="25" spans="1:18">
      <c r="A25" s="43"/>
      <c r="B25" s="43"/>
      <c r="C25" s="57"/>
      <c r="D25" s="23" t="s">
        <v>19</v>
      </c>
      <c r="E25" s="11">
        <v>75</v>
      </c>
      <c r="F25" s="12">
        <v>75</v>
      </c>
      <c r="G25" s="12">
        <v>100</v>
      </c>
      <c r="H25" s="12">
        <v>100</v>
      </c>
      <c r="I25" s="12">
        <v>100</v>
      </c>
      <c r="J25" s="12">
        <v>75</v>
      </c>
      <c r="K25" s="12">
        <v>75</v>
      </c>
      <c r="L25" s="12">
        <v>75</v>
      </c>
      <c r="M25" s="12">
        <v>75</v>
      </c>
      <c r="N25" s="7">
        <f>SUM(E25:M25)</f>
        <v>750</v>
      </c>
      <c r="O25" s="25">
        <f>N26/750</f>
        <v>0.60266666666666668</v>
      </c>
      <c r="P25" s="27" t="s">
        <v>38</v>
      </c>
      <c r="Q25" s="29" t="s">
        <v>21</v>
      </c>
      <c r="R25" s="21"/>
    </row>
    <row r="26" spans="1:18">
      <c r="A26" s="43"/>
      <c r="B26" s="43"/>
      <c r="C26" s="58" t="s">
        <v>62</v>
      </c>
      <c r="D26" s="24"/>
      <c r="E26" s="10">
        <v>49</v>
      </c>
      <c r="F26" s="10">
        <v>42</v>
      </c>
      <c r="G26" s="10">
        <v>72</v>
      </c>
      <c r="H26" s="10">
        <v>50</v>
      </c>
      <c r="I26" s="10">
        <v>56</v>
      </c>
      <c r="J26" s="10">
        <v>38</v>
      </c>
      <c r="K26" s="10">
        <v>53</v>
      </c>
      <c r="L26" s="10">
        <v>46</v>
      </c>
      <c r="M26" s="10">
        <v>46</v>
      </c>
      <c r="N26" s="10">
        <f>SUM(E26:M26)</f>
        <v>452</v>
      </c>
      <c r="O26" s="26"/>
      <c r="P26" s="28"/>
      <c r="Q26" s="30"/>
      <c r="R26" s="21"/>
    </row>
    <row r="27" spans="1:18">
      <c r="A27" s="43"/>
      <c r="B27" s="43"/>
      <c r="C27" s="57" t="s">
        <v>63</v>
      </c>
      <c r="D27" s="31" t="s">
        <v>22</v>
      </c>
      <c r="E27" s="11">
        <v>150</v>
      </c>
      <c r="F27" s="12">
        <v>150</v>
      </c>
      <c r="G27" s="12">
        <v>200</v>
      </c>
      <c r="H27" s="12">
        <v>200</v>
      </c>
      <c r="I27" s="12">
        <v>200</v>
      </c>
      <c r="J27" s="12">
        <v>150</v>
      </c>
      <c r="K27" s="12">
        <v>150</v>
      </c>
      <c r="L27" s="12">
        <v>150</v>
      </c>
      <c r="M27" s="12">
        <v>150</v>
      </c>
      <c r="N27" s="7">
        <f>SUM(E27:M27)</f>
        <v>1500</v>
      </c>
      <c r="O27" s="33">
        <f>N28/1500</f>
        <v>0.60266666666666668</v>
      </c>
      <c r="P27" s="36" t="s">
        <v>38</v>
      </c>
      <c r="Q27" s="39"/>
      <c r="R27" s="21"/>
    </row>
    <row r="28" spans="1:18">
      <c r="A28" s="43"/>
      <c r="B28" s="43"/>
      <c r="C28" s="57"/>
      <c r="D28" s="32"/>
      <c r="E28" s="10">
        <f>SUM(E26,E24)</f>
        <v>76</v>
      </c>
      <c r="F28" s="10">
        <f t="shared" ref="F28:N28" si="8">SUM(F24,F26)</f>
        <v>95</v>
      </c>
      <c r="G28" s="10">
        <f t="shared" si="8"/>
        <v>148</v>
      </c>
      <c r="H28" s="10">
        <f t="shared" si="8"/>
        <v>101</v>
      </c>
      <c r="I28" s="10">
        <f t="shared" si="8"/>
        <v>132</v>
      </c>
      <c r="J28" s="10">
        <f t="shared" si="8"/>
        <v>76</v>
      </c>
      <c r="K28" s="10">
        <f t="shared" si="8"/>
        <v>110</v>
      </c>
      <c r="L28" s="10">
        <f t="shared" si="8"/>
        <v>90</v>
      </c>
      <c r="M28" s="10">
        <f t="shared" ref="M28" si="9">SUM(M24,M26)</f>
        <v>76</v>
      </c>
      <c r="N28" s="27">
        <f t="shared" si="8"/>
        <v>904</v>
      </c>
      <c r="O28" s="34"/>
      <c r="P28" s="37"/>
      <c r="Q28" s="40"/>
      <c r="R28" s="21"/>
    </row>
    <row r="29" spans="1:18" ht="15.75" thickBot="1">
      <c r="A29" s="44"/>
      <c r="B29" s="44"/>
      <c r="C29" s="57"/>
      <c r="D29" s="13" t="s">
        <v>14</v>
      </c>
      <c r="E29" s="14">
        <f>E28 / E27</f>
        <v>0.50666666666666671</v>
      </c>
      <c r="F29" s="14">
        <f t="shared" ref="F29:L29" si="10">F28 / F27</f>
        <v>0.6333333333333333</v>
      </c>
      <c r="G29" s="14">
        <f t="shared" si="10"/>
        <v>0.74</v>
      </c>
      <c r="H29" s="14">
        <f t="shared" si="10"/>
        <v>0.505</v>
      </c>
      <c r="I29" s="14">
        <f t="shared" si="10"/>
        <v>0.66</v>
      </c>
      <c r="J29" s="14">
        <f t="shared" si="10"/>
        <v>0.50666666666666671</v>
      </c>
      <c r="K29" s="14">
        <f t="shared" si="10"/>
        <v>0.73333333333333328</v>
      </c>
      <c r="L29" s="14">
        <f t="shared" si="10"/>
        <v>0.6</v>
      </c>
      <c r="M29" s="14">
        <f t="shared" ref="M29" si="11">M28 / M27</f>
        <v>0.50666666666666671</v>
      </c>
      <c r="N29" s="49"/>
      <c r="O29" s="35"/>
      <c r="P29" s="38"/>
      <c r="Q29" s="41"/>
      <c r="R29" s="22"/>
    </row>
    <row r="30" spans="1:18">
      <c r="K30" s="17"/>
      <c r="L30" s="17"/>
      <c r="M30" s="16"/>
    </row>
    <row r="31" spans="1:18">
      <c r="P31" s="69"/>
    </row>
  </sheetData>
  <mergeCells count="55">
    <mergeCell ref="A1:R3"/>
    <mergeCell ref="A5:A11"/>
    <mergeCell ref="B5:B11"/>
    <mergeCell ref="D5:D6"/>
    <mergeCell ref="O5:O6"/>
    <mergeCell ref="P5:P6"/>
    <mergeCell ref="Q5:Q6"/>
    <mergeCell ref="R5:R11"/>
    <mergeCell ref="D7:D8"/>
    <mergeCell ref="C5:C7"/>
    <mergeCell ref="C9:C11"/>
    <mergeCell ref="O7:O8"/>
    <mergeCell ref="P7:P8"/>
    <mergeCell ref="Q7:Q8"/>
    <mergeCell ref="D9:D10"/>
    <mergeCell ref="O9:O11"/>
    <mergeCell ref="P9:P11"/>
    <mergeCell ref="Q9:Q11"/>
    <mergeCell ref="N10:N11"/>
    <mergeCell ref="A14:A20"/>
    <mergeCell ref="B14:B20"/>
    <mergeCell ref="D14:D15"/>
    <mergeCell ref="O14:O15"/>
    <mergeCell ref="N19:N20"/>
    <mergeCell ref="C14:C16"/>
    <mergeCell ref="C18:C20"/>
    <mergeCell ref="Q14:Q15"/>
    <mergeCell ref="R14:R20"/>
    <mergeCell ref="D16:D17"/>
    <mergeCell ref="O16:O17"/>
    <mergeCell ref="P16:P17"/>
    <mergeCell ref="Q16:Q17"/>
    <mergeCell ref="D18:D19"/>
    <mergeCell ref="O18:O20"/>
    <mergeCell ref="P18:P20"/>
    <mergeCell ref="Q18:Q20"/>
    <mergeCell ref="P14:P15"/>
    <mergeCell ref="A23:A29"/>
    <mergeCell ref="B23:B29"/>
    <mergeCell ref="D23:D24"/>
    <mergeCell ref="O23:O24"/>
    <mergeCell ref="N28:N29"/>
    <mergeCell ref="C23:C25"/>
    <mergeCell ref="C27:C29"/>
    <mergeCell ref="Q23:Q24"/>
    <mergeCell ref="R23:R29"/>
    <mergeCell ref="D25:D26"/>
    <mergeCell ref="O25:O26"/>
    <mergeCell ref="P25:P26"/>
    <mergeCell ref="Q25:Q26"/>
    <mergeCell ref="D27:D28"/>
    <mergeCell ref="O27:O29"/>
    <mergeCell ref="P27:P29"/>
    <mergeCell ref="Q27:Q29"/>
    <mergeCell ref="P23:P24"/>
  </mergeCells>
  <pageMargins left="0.25" right="0.25" top="0.75" bottom="0.75" header="0.3" footer="0.3"/>
  <pageSetup scale="9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0"/>
  <sheetViews>
    <sheetView view="pageBreakPreview" zoomScaleNormal="130" zoomScaleSheetLayoutView="100" workbookViewId="0">
      <selection sqref="A1:R3"/>
    </sheetView>
  </sheetViews>
  <sheetFormatPr defaultRowHeight="15"/>
  <cols>
    <col min="1" max="1" width="4.140625" customWidth="1"/>
    <col min="2" max="2" width="5.85546875" customWidth="1"/>
    <col min="3" max="3" width="16.140625" customWidth="1"/>
    <col min="5" max="5" width="6.85546875" customWidth="1"/>
    <col min="6" max="6" width="6" customWidth="1"/>
    <col min="7" max="7" width="7" customWidth="1"/>
    <col min="8" max="8" width="7.28515625" customWidth="1"/>
    <col min="9" max="9" width="8.42578125" customWidth="1"/>
    <col min="10" max="10" width="5.5703125" customWidth="1"/>
    <col min="11" max="11" width="7.85546875" customWidth="1"/>
    <col min="12" max="12" width="5.42578125" customWidth="1"/>
    <col min="13" max="13" width="6.42578125" customWidth="1"/>
    <col min="14" max="14" width="7.42578125" customWidth="1"/>
    <col min="15" max="15" width="6" customWidth="1"/>
    <col min="16" max="16" width="6.28515625" customWidth="1"/>
    <col min="17" max="17" width="8" customWidth="1"/>
    <col min="18" max="18" width="10.7109375" customWidth="1"/>
  </cols>
  <sheetData>
    <row r="1" spans="1:18" ht="15" customHeight="1">
      <c r="A1" s="50" t="s">
        <v>23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</row>
    <row r="3" spans="1:18" ht="27.95" customHeight="1" thickBot="1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8" ht="29.25" thickBot="1">
      <c r="A4" s="1" t="s">
        <v>0</v>
      </c>
      <c r="B4" s="2" t="s">
        <v>1</v>
      </c>
      <c r="C4" s="56" t="s">
        <v>2</v>
      </c>
      <c r="D4" s="3" t="s">
        <v>3</v>
      </c>
      <c r="E4" s="3" t="s">
        <v>4</v>
      </c>
      <c r="F4" s="3" t="s">
        <v>6</v>
      </c>
      <c r="G4" s="3" t="s">
        <v>7</v>
      </c>
      <c r="H4" s="4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5</v>
      </c>
      <c r="N4" s="3" t="s">
        <v>13</v>
      </c>
      <c r="O4" s="5" t="s">
        <v>14</v>
      </c>
      <c r="P4" s="5" t="s">
        <v>15</v>
      </c>
      <c r="Q4" s="5" t="s">
        <v>16</v>
      </c>
      <c r="R4" s="6" t="s">
        <v>17</v>
      </c>
    </row>
    <row r="5" spans="1:18" ht="15.75" thickTop="1">
      <c r="A5" s="42" t="s">
        <v>64</v>
      </c>
      <c r="B5" s="42">
        <v>613</v>
      </c>
      <c r="C5" s="57" t="s">
        <v>66</v>
      </c>
      <c r="D5" s="61" t="s">
        <v>18</v>
      </c>
      <c r="E5" s="7">
        <v>75</v>
      </c>
      <c r="F5" s="7">
        <v>75</v>
      </c>
      <c r="G5" s="7">
        <v>100</v>
      </c>
      <c r="H5" s="7">
        <v>100</v>
      </c>
      <c r="I5" s="7">
        <v>100</v>
      </c>
      <c r="J5" s="7">
        <v>75</v>
      </c>
      <c r="K5" s="7">
        <v>75</v>
      </c>
      <c r="L5" s="7">
        <v>75</v>
      </c>
      <c r="M5" s="9">
        <v>75</v>
      </c>
      <c r="N5" s="7">
        <f>SUM(E5:M5)</f>
        <v>750</v>
      </c>
      <c r="O5" s="47">
        <f>N6/750</f>
        <v>0.74399999999999999</v>
      </c>
      <c r="P5" s="48" t="s">
        <v>20</v>
      </c>
      <c r="Q5" s="18"/>
      <c r="R5" s="20"/>
    </row>
    <row r="6" spans="1:18">
      <c r="A6" s="43"/>
      <c r="B6" s="43"/>
      <c r="C6" s="57"/>
      <c r="D6" s="62"/>
      <c r="E6" s="10">
        <v>42</v>
      </c>
      <c r="F6" s="10">
        <v>64</v>
      </c>
      <c r="G6" s="10">
        <v>84</v>
      </c>
      <c r="H6" s="10">
        <v>71</v>
      </c>
      <c r="I6" s="10">
        <v>85</v>
      </c>
      <c r="J6" s="10">
        <v>50</v>
      </c>
      <c r="K6" s="10">
        <v>57</v>
      </c>
      <c r="L6" s="10">
        <v>61</v>
      </c>
      <c r="M6" s="10">
        <v>44</v>
      </c>
      <c r="N6" s="10">
        <f>SUM(E6:M6)</f>
        <v>558</v>
      </c>
      <c r="O6" s="26"/>
      <c r="P6" s="28"/>
      <c r="Q6" s="19"/>
      <c r="R6" s="21"/>
    </row>
    <row r="7" spans="1:18">
      <c r="A7" s="43"/>
      <c r="B7" s="43"/>
      <c r="C7" s="57"/>
      <c r="D7" s="63" t="s">
        <v>19</v>
      </c>
      <c r="E7" s="11">
        <v>75</v>
      </c>
      <c r="F7" s="12">
        <v>75</v>
      </c>
      <c r="G7" s="12">
        <v>100</v>
      </c>
      <c r="H7" s="12">
        <v>100</v>
      </c>
      <c r="I7" s="12">
        <v>100</v>
      </c>
      <c r="J7" s="12">
        <v>75</v>
      </c>
      <c r="K7" s="12">
        <v>75</v>
      </c>
      <c r="L7" s="12">
        <v>75</v>
      </c>
      <c r="M7" s="12">
        <v>75</v>
      </c>
      <c r="N7" s="7">
        <f>SUM(E7:M7)</f>
        <v>750</v>
      </c>
      <c r="O7" s="25">
        <f>N8/750</f>
        <v>0.78800000000000003</v>
      </c>
      <c r="P7" s="27" t="s">
        <v>20</v>
      </c>
      <c r="Q7" s="29" t="s">
        <v>21</v>
      </c>
      <c r="R7" s="21"/>
    </row>
    <row r="8" spans="1:18">
      <c r="A8" s="43"/>
      <c r="B8" s="43"/>
      <c r="C8" s="58" t="s">
        <v>26</v>
      </c>
      <c r="D8" s="64"/>
      <c r="E8" s="10">
        <v>58</v>
      </c>
      <c r="F8" s="10">
        <v>67</v>
      </c>
      <c r="G8" s="10">
        <v>89</v>
      </c>
      <c r="H8" s="10">
        <v>75</v>
      </c>
      <c r="I8" s="10">
        <v>79</v>
      </c>
      <c r="J8" s="10">
        <v>53</v>
      </c>
      <c r="K8" s="10">
        <v>62</v>
      </c>
      <c r="L8" s="10">
        <v>51</v>
      </c>
      <c r="M8" s="10">
        <v>57</v>
      </c>
      <c r="N8" s="10">
        <f>SUM(E8:M8)</f>
        <v>591</v>
      </c>
      <c r="O8" s="26"/>
      <c r="P8" s="28"/>
      <c r="Q8" s="30"/>
      <c r="R8" s="21"/>
    </row>
    <row r="9" spans="1:18">
      <c r="A9" s="43"/>
      <c r="B9" s="43"/>
      <c r="C9" s="57" t="s">
        <v>67</v>
      </c>
      <c r="D9" s="65" t="s">
        <v>22</v>
      </c>
      <c r="E9" s="11">
        <v>150</v>
      </c>
      <c r="F9" s="12">
        <v>150</v>
      </c>
      <c r="G9" s="12">
        <v>200</v>
      </c>
      <c r="H9" s="12">
        <v>200</v>
      </c>
      <c r="I9" s="12">
        <v>200</v>
      </c>
      <c r="J9" s="12">
        <v>150</v>
      </c>
      <c r="K9" s="12">
        <v>150</v>
      </c>
      <c r="L9" s="12">
        <v>150</v>
      </c>
      <c r="M9" s="12">
        <v>150</v>
      </c>
      <c r="N9" s="7">
        <f>SUM(E9:M9)</f>
        <v>1500</v>
      </c>
      <c r="O9" s="33">
        <f>N10/1500</f>
        <v>0.76600000000000001</v>
      </c>
      <c r="P9" s="36" t="s">
        <v>20</v>
      </c>
      <c r="Q9" s="39"/>
      <c r="R9" s="21"/>
    </row>
    <row r="10" spans="1:18">
      <c r="A10" s="43"/>
      <c r="B10" s="43"/>
      <c r="C10" s="57"/>
      <c r="D10" s="66"/>
      <c r="E10" s="10">
        <f>SUM(E8,E6)</f>
        <v>100</v>
      </c>
      <c r="F10" s="10">
        <f t="shared" ref="F10:N10" si="0">SUM(F6,F8)</f>
        <v>131</v>
      </c>
      <c r="G10" s="10">
        <f t="shared" si="0"/>
        <v>173</v>
      </c>
      <c r="H10" s="10">
        <f t="shared" si="0"/>
        <v>146</v>
      </c>
      <c r="I10" s="10">
        <f t="shared" si="0"/>
        <v>164</v>
      </c>
      <c r="J10" s="10">
        <f t="shared" si="0"/>
        <v>103</v>
      </c>
      <c r="K10" s="10">
        <f t="shared" si="0"/>
        <v>119</v>
      </c>
      <c r="L10" s="10">
        <f t="shared" si="0"/>
        <v>112</v>
      </c>
      <c r="M10" s="10">
        <f t="shared" ref="M10" si="1">SUM(M6,M8)</f>
        <v>101</v>
      </c>
      <c r="N10" s="27">
        <f t="shared" si="0"/>
        <v>1149</v>
      </c>
      <c r="O10" s="34"/>
      <c r="P10" s="37"/>
      <c r="Q10" s="40"/>
      <c r="R10" s="21"/>
    </row>
    <row r="11" spans="1:18" ht="15.75" thickBot="1">
      <c r="A11" s="44"/>
      <c r="B11" s="44"/>
      <c r="C11" s="57"/>
      <c r="D11" s="13" t="s">
        <v>14</v>
      </c>
      <c r="E11" s="14">
        <f>E10 / E9</f>
        <v>0.66666666666666663</v>
      </c>
      <c r="F11" s="14">
        <f t="shared" ref="F11:L11" si="2">F10 / F9</f>
        <v>0.87333333333333329</v>
      </c>
      <c r="G11" s="14">
        <f t="shared" si="2"/>
        <v>0.86499999999999999</v>
      </c>
      <c r="H11" s="14">
        <f t="shared" si="2"/>
        <v>0.73</v>
      </c>
      <c r="I11" s="14">
        <f t="shared" si="2"/>
        <v>0.82</v>
      </c>
      <c r="J11" s="14">
        <f t="shared" si="2"/>
        <v>0.68666666666666665</v>
      </c>
      <c r="K11" s="14">
        <f t="shared" si="2"/>
        <v>0.79333333333333333</v>
      </c>
      <c r="L11" s="14">
        <f t="shared" si="2"/>
        <v>0.7466666666666667</v>
      </c>
      <c r="M11" s="14">
        <f t="shared" ref="M11" si="3">M10 / M9</f>
        <v>0.67333333333333334</v>
      </c>
      <c r="N11" s="49"/>
      <c r="O11" s="35"/>
      <c r="P11" s="38"/>
      <c r="Q11" s="41"/>
      <c r="R11" s="22"/>
    </row>
    <row r="12" spans="1:18" ht="15.75" thickBo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spans="1:18" ht="29.25" thickBot="1">
      <c r="A13" s="1" t="s">
        <v>0</v>
      </c>
      <c r="B13" s="2" t="s">
        <v>1</v>
      </c>
      <c r="C13" s="56" t="s">
        <v>2</v>
      </c>
      <c r="D13" s="3" t="s">
        <v>3</v>
      </c>
      <c r="E13" s="3" t="s">
        <v>4</v>
      </c>
      <c r="F13" s="3" t="s">
        <v>6</v>
      </c>
      <c r="G13" s="3" t="s">
        <v>7</v>
      </c>
      <c r="H13" s="4" t="s">
        <v>8</v>
      </c>
      <c r="I13" s="3" t="s">
        <v>9</v>
      </c>
      <c r="J13" s="3" t="s">
        <v>10</v>
      </c>
      <c r="K13" s="3" t="s">
        <v>11</v>
      </c>
      <c r="L13" s="3" t="s">
        <v>12</v>
      </c>
      <c r="M13" s="3" t="s">
        <v>5</v>
      </c>
      <c r="N13" s="3" t="s">
        <v>13</v>
      </c>
      <c r="O13" s="5" t="s">
        <v>14</v>
      </c>
      <c r="P13" s="5" t="s">
        <v>15</v>
      </c>
      <c r="Q13" s="5" t="s">
        <v>16</v>
      </c>
      <c r="R13" s="6" t="s">
        <v>17</v>
      </c>
    </row>
    <row r="14" spans="1:18" ht="15.75" thickTop="1">
      <c r="A14" s="42" t="s">
        <v>65</v>
      </c>
      <c r="B14" s="42">
        <v>614</v>
      </c>
      <c r="C14" s="57" t="s">
        <v>68</v>
      </c>
      <c r="D14" s="18" t="s">
        <v>18</v>
      </c>
      <c r="E14" s="7">
        <v>75</v>
      </c>
      <c r="F14" s="7">
        <v>75</v>
      </c>
      <c r="G14" s="7">
        <v>100</v>
      </c>
      <c r="H14" s="7">
        <v>100</v>
      </c>
      <c r="I14" s="7">
        <v>100</v>
      </c>
      <c r="J14" s="7">
        <v>75</v>
      </c>
      <c r="K14" s="7">
        <v>75</v>
      </c>
      <c r="L14" s="7">
        <v>75</v>
      </c>
      <c r="M14" s="9">
        <v>75</v>
      </c>
      <c r="N14" s="7">
        <f>SUM(E14:M14)</f>
        <v>750</v>
      </c>
      <c r="O14" s="47">
        <f>N15/750</f>
        <v>0.54933333333333334</v>
      </c>
      <c r="P14" s="48" t="s">
        <v>96</v>
      </c>
      <c r="Q14" s="18"/>
      <c r="R14" s="20"/>
    </row>
    <row r="15" spans="1:18">
      <c r="A15" s="43"/>
      <c r="B15" s="43"/>
      <c r="C15" s="57"/>
      <c r="D15" s="19"/>
      <c r="E15" s="10">
        <v>39</v>
      </c>
      <c r="F15" s="10">
        <v>43</v>
      </c>
      <c r="G15" s="10">
        <v>63</v>
      </c>
      <c r="H15" s="10">
        <v>50</v>
      </c>
      <c r="I15" s="10">
        <v>63</v>
      </c>
      <c r="J15" s="10">
        <v>40</v>
      </c>
      <c r="K15" s="10">
        <v>48</v>
      </c>
      <c r="L15" s="10">
        <v>28</v>
      </c>
      <c r="M15" s="10">
        <v>38</v>
      </c>
      <c r="N15" s="10">
        <f>SUM(E15:M15)</f>
        <v>412</v>
      </c>
      <c r="O15" s="26"/>
      <c r="P15" s="28"/>
      <c r="Q15" s="19"/>
      <c r="R15" s="21"/>
    </row>
    <row r="16" spans="1:18">
      <c r="A16" s="43"/>
      <c r="B16" s="43"/>
      <c r="C16" s="57"/>
      <c r="D16" s="23" t="s">
        <v>19</v>
      </c>
      <c r="E16" s="11">
        <v>75</v>
      </c>
      <c r="F16" s="12">
        <v>75</v>
      </c>
      <c r="G16" s="12">
        <v>100</v>
      </c>
      <c r="H16" s="12">
        <v>100</v>
      </c>
      <c r="I16" s="12">
        <v>100</v>
      </c>
      <c r="J16" s="12">
        <v>75</v>
      </c>
      <c r="K16" s="12">
        <v>75</v>
      </c>
      <c r="L16" s="12">
        <v>75</v>
      </c>
      <c r="M16" s="12">
        <v>75</v>
      </c>
      <c r="N16" s="7">
        <f>SUM(E16:M16)</f>
        <v>750</v>
      </c>
      <c r="O16" s="25">
        <f>N17/750</f>
        <v>0.624</v>
      </c>
      <c r="P16" s="27" t="s">
        <v>38</v>
      </c>
      <c r="Q16" s="29" t="s">
        <v>21</v>
      </c>
      <c r="R16" s="21"/>
    </row>
    <row r="17" spans="1:18">
      <c r="A17" s="43"/>
      <c r="B17" s="43"/>
      <c r="C17" s="58" t="s">
        <v>26</v>
      </c>
      <c r="D17" s="24"/>
      <c r="E17" s="10">
        <v>39</v>
      </c>
      <c r="F17" s="10">
        <v>57</v>
      </c>
      <c r="G17" s="10">
        <v>51</v>
      </c>
      <c r="H17" s="10">
        <v>57</v>
      </c>
      <c r="I17" s="10">
        <v>61</v>
      </c>
      <c r="J17" s="10">
        <v>52</v>
      </c>
      <c r="K17" s="10">
        <v>48</v>
      </c>
      <c r="L17" s="10">
        <v>48</v>
      </c>
      <c r="M17" s="10">
        <v>55</v>
      </c>
      <c r="N17" s="10">
        <f>SUM(E17:M17)</f>
        <v>468</v>
      </c>
      <c r="O17" s="26"/>
      <c r="P17" s="28"/>
      <c r="Q17" s="30"/>
      <c r="R17" s="21"/>
    </row>
    <row r="18" spans="1:18">
      <c r="A18" s="43"/>
      <c r="B18" s="43"/>
      <c r="C18" s="57" t="s">
        <v>69</v>
      </c>
      <c r="D18" s="31" t="s">
        <v>22</v>
      </c>
      <c r="E18" s="11">
        <v>150</v>
      </c>
      <c r="F18" s="12">
        <v>150</v>
      </c>
      <c r="G18" s="12">
        <v>200</v>
      </c>
      <c r="H18" s="12">
        <v>200</v>
      </c>
      <c r="I18" s="12">
        <v>200</v>
      </c>
      <c r="J18" s="12">
        <v>150</v>
      </c>
      <c r="K18" s="12">
        <v>150</v>
      </c>
      <c r="L18" s="12">
        <v>150</v>
      </c>
      <c r="M18" s="12">
        <v>150</v>
      </c>
      <c r="N18" s="7">
        <f>SUM(E18:M18)</f>
        <v>1500</v>
      </c>
      <c r="O18" s="33">
        <f>N19/1500</f>
        <v>0.58666666666666667</v>
      </c>
      <c r="P18" s="36" t="s">
        <v>96</v>
      </c>
      <c r="Q18" s="39"/>
      <c r="R18" s="21"/>
    </row>
    <row r="19" spans="1:18">
      <c r="A19" s="43"/>
      <c r="B19" s="43"/>
      <c r="C19" s="57"/>
      <c r="D19" s="32"/>
      <c r="E19" s="10">
        <f>SUM(E17,E15)</f>
        <v>78</v>
      </c>
      <c r="F19" s="10">
        <f t="shared" ref="F19:N19" si="4">SUM(F15,F17)</f>
        <v>100</v>
      </c>
      <c r="G19" s="10">
        <f t="shared" si="4"/>
        <v>114</v>
      </c>
      <c r="H19" s="10">
        <f t="shared" si="4"/>
        <v>107</v>
      </c>
      <c r="I19" s="10">
        <f t="shared" si="4"/>
        <v>124</v>
      </c>
      <c r="J19" s="10">
        <f t="shared" si="4"/>
        <v>92</v>
      </c>
      <c r="K19" s="10">
        <f t="shared" si="4"/>
        <v>96</v>
      </c>
      <c r="L19" s="10">
        <f t="shared" si="4"/>
        <v>76</v>
      </c>
      <c r="M19" s="10">
        <f t="shared" ref="M19" si="5">SUM(M15,M17)</f>
        <v>93</v>
      </c>
      <c r="N19" s="27">
        <f t="shared" si="4"/>
        <v>880</v>
      </c>
      <c r="O19" s="34"/>
      <c r="P19" s="37"/>
      <c r="Q19" s="40"/>
      <c r="R19" s="21"/>
    </row>
    <row r="20" spans="1:18" ht="15.75" thickBot="1">
      <c r="A20" s="44"/>
      <c r="B20" s="44"/>
      <c r="C20" s="57"/>
      <c r="D20" s="13" t="s">
        <v>14</v>
      </c>
      <c r="E20" s="14">
        <f>E19 / E18</f>
        <v>0.52</v>
      </c>
      <c r="F20" s="14">
        <f t="shared" ref="F20:L20" si="6">F19 / F18</f>
        <v>0.66666666666666663</v>
      </c>
      <c r="G20" s="14">
        <f t="shared" si="6"/>
        <v>0.56999999999999995</v>
      </c>
      <c r="H20" s="14">
        <f t="shared" si="6"/>
        <v>0.53500000000000003</v>
      </c>
      <c r="I20" s="14">
        <f t="shared" si="6"/>
        <v>0.62</v>
      </c>
      <c r="J20" s="14">
        <f t="shared" si="6"/>
        <v>0.61333333333333329</v>
      </c>
      <c r="K20" s="14">
        <f t="shared" si="6"/>
        <v>0.64</v>
      </c>
      <c r="L20" s="14">
        <f t="shared" si="6"/>
        <v>0.50666666666666671</v>
      </c>
      <c r="M20" s="14">
        <f t="shared" ref="M20" si="7">M19 / M18</f>
        <v>0.62</v>
      </c>
      <c r="N20" s="49"/>
      <c r="O20" s="35"/>
      <c r="P20" s="38"/>
      <c r="Q20" s="41"/>
      <c r="R20" s="22"/>
    </row>
    <row r="21" spans="1:18" ht="15.75" thickBot="1"/>
    <row r="22" spans="1:18" ht="29.25" thickBot="1">
      <c r="A22" s="1" t="s">
        <v>0</v>
      </c>
      <c r="B22" s="2" t="s">
        <v>1</v>
      </c>
      <c r="C22" s="56" t="s">
        <v>2</v>
      </c>
      <c r="D22" s="3" t="s">
        <v>3</v>
      </c>
      <c r="E22" s="3" t="s">
        <v>4</v>
      </c>
      <c r="F22" s="3" t="s">
        <v>6</v>
      </c>
      <c r="G22" s="3" t="s">
        <v>7</v>
      </c>
      <c r="H22" s="4" t="s">
        <v>8</v>
      </c>
      <c r="I22" s="3" t="s">
        <v>9</v>
      </c>
      <c r="J22" s="3" t="s">
        <v>10</v>
      </c>
      <c r="K22" s="3" t="s">
        <v>11</v>
      </c>
      <c r="L22" s="3" t="s">
        <v>12</v>
      </c>
      <c r="M22" s="3" t="s">
        <v>5</v>
      </c>
      <c r="N22" s="3" t="s">
        <v>13</v>
      </c>
      <c r="O22" s="5" t="s">
        <v>14</v>
      </c>
      <c r="P22" s="5" t="s">
        <v>15</v>
      </c>
      <c r="Q22" s="5" t="s">
        <v>16</v>
      </c>
      <c r="R22" s="6" t="s">
        <v>17</v>
      </c>
    </row>
    <row r="23" spans="1:18" ht="15.75" thickTop="1">
      <c r="A23" s="42" t="s">
        <v>94</v>
      </c>
      <c r="B23" s="42">
        <v>615</v>
      </c>
      <c r="C23" s="57" t="s">
        <v>85</v>
      </c>
      <c r="D23" s="18" t="s">
        <v>18</v>
      </c>
      <c r="E23" s="7">
        <v>75</v>
      </c>
      <c r="F23" s="7">
        <v>75</v>
      </c>
      <c r="G23" s="7">
        <v>100</v>
      </c>
      <c r="H23" s="7">
        <v>100</v>
      </c>
      <c r="I23" s="7">
        <v>100</v>
      </c>
      <c r="J23" s="7">
        <v>75</v>
      </c>
      <c r="K23" s="7">
        <v>75</v>
      </c>
      <c r="L23" s="7">
        <v>75</v>
      </c>
      <c r="M23" s="9">
        <v>75</v>
      </c>
      <c r="N23" s="7">
        <f>SUM(E23:M23)</f>
        <v>750</v>
      </c>
      <c r="O23" s="47">
        <f>N24/750</f>
        <v>0.48933333333333334</v>
      </c>
      <c r="P23" s="48"/>
      <c r="Q23" s="18"/>
      <c r="R23" s="20"/>
    </row>
    <row r="24" spans="1:18">
      <c r="A24" s="43"/>
      <c r="B24" s="43"/>
      <c r="C24" s="57"/>
      <c r="D24" s="19"/>
      <c r="E24" s="10">
        <v>29</v>
      </c>
      <c r="F24" s="10">
        <v>31</v>
      </c>
      <c r="G24" s="10">
        <v>62</v>
      </c>
      <c r="H24" s="10">
        <v>34</v>
      </c>
      <c r="I24" s="10">
        <v>78</v>
      </c>
      <c r="J24" s="10">
        <v>33</v>
      </c>
      <c r="K24" s="10">
        <v>40</v>
      </c>
      <c r="L24" s="10">
        <v>22</v>
      </c>
      <c r="M24" s="10">
        <v>38</v>
      </c>
      <c r="N24" s="10">
        <f>SUM(E24:M24)</f>
        <v>367</v>
      </c>
      <c r="O24" s="26"/>
      <c r="P24" s="28"/>
      <c r="Q24" s="19"/>
      <c r="R24" s="21"/>
    </row>
    <row r="25" spans="1:18">
      <c r="A25" s="43"/>
      <c r="B25" s="43"/>
      <c r="C25" s="57"/>
      <c r="D25" s="23" t="s">
        <v>19</v>
      </c>
      <c r="E25" s="11">
        <v>75</v>
      </c>
      <c r="F25" s="12">
        <v>75</v>
      </c>
      <c r="G25" s="12">
        <v>100</v>
      </c>
      <c r="H25" s="12">
        <v>100</v>
      </c>
      <c r="I25" s="12">
        <v>100</v>
      </c>
      <c r="J25" s="12">
        <v>75</v>
      </c>
      <c r="K25" s="12">
        <v>75</v>
      </c>
      <c r="L25" s="12">
        <v>75</v>
      </c>
      <c r="M25" s="12">
        <v>75</v>
      </c>
      <c r="N25" s="7">
        <f>SUM(E25:M25)</f>
        <v>750</v>
      </c>
      <c r="O25" s="25">
        <f>N26/750</f>
        <v>0.46666666666666667</v>
      </c>
      <c r="P25" s="27"/>
      <c r="Q25" s="29" t="s">
        <v>21</v>
      </c>
      <c r="R25" s="21"/>
    </row>
    <row r="26" spans="1:18">
      <c r="A26" s="43"/>
      <c r="B26" s="43"/>
      <c r="C26" s="58" t="s">
        <v>26</v>
      </c>
      <c r="D26" s="24"/>
      <c r="E26" s="10">
        <v>30</v>
      </c>
      <c r="F26" s="10">
        <v>38</v>
      </c>
      <c r="G26" s="10">
        <v>62</v>
      </c>
      <c r="H26" s="10">
        <v>26</v>
      </c>
      <c r="I26" s="10">
        <v>50</v>
      </c>
      <c r="J26" s="10">
        <v>43</v>
      </c>
      <c r="K26" s="10">
        <v>27</v>
      </c>
      <c r="L26" s="10">
        <v>25</v>
      </c>
      <c r="M26" s="10">
        <v>49</v>
      </c>
      <c r="N26" s="10">
        <f>SUM(E26:M26)</f>
        <v>350</v>
      </c>
      <c r="O26" s="26"/>
      <c r="P26" s="28"/>
      <c r="Q26" s="30"/>
      <c r="R26" s="21"/>
    </row>
    <row r="27" spans="1:18">
      <c r="A27" s="43"/>
      <c r="B27" s="43"/>
      <c r="C27" s="57" t="s">
        <v>95</v>
      </c>
      <c r="D27" s="31" t="s">
        <v>22</v>
      </c>
      <c r="E27" s="11">
        <v>150</v>
      </c>
      <c r="F27" s="12">
        <v>150</v>
      </c>
      <c r="G27" s="12">
        <v>200</v>
      </c>
      <c r="H27" s="12">
        <v>200</v>
      </c>
      <c r="I27" s="12">
        <v>200</v>
      </c>
      <c r="J27" s="12">
        <v>150</v>
      </c>
      <c r="K27" s="12">
        <v>150</v>
      </c>
      <c r="L27" s="12">
        <v>150</v>
      </c>
      <c r="M27" s="12">
        <v>150</v>
      </c>
      <c r="N27" s="7">
        <f>SUM(E27:M27)</f>
        <v>1500</v>
      </c>
      <c r="O27" s="33">
        <f>N28/1500</f>
        <v>0.47799999999999998</v>
      </c>
      <c r="P27" s="36"/>
      <c r="Q27" s="39"/>
      <c r="R27" s="21"/>
    </row>
    <row r="28" spans="1:18">
      <c r="A28" s="43"/>
      <c r="B28" s="43"/>
      <c r="C28" s="57"/>
      <c r="D28" s="32"/>
      <c r="E28" s="10">
        <f>SUM(E26,E24)</f>
        <v>59</v>
      </c>
      <c r="F28" s="10">
        <f t="shared" ref="F28:N28" si="8">SUM(F24,F26)</f>
        <v>69</v>
      </c>
      <c r="G28" s="10">
        <f t="shared" si="8"/>
        <v>124</v>
      </c>
      <c r="H28" s="10">
        <f t="shared" si="8"/>
        <v>60</v>
      </c>
      <c r="I28" s="10">
        <f t="shared" si="8"/>
        <v>128</v>
      </c>
      <c r="J28" s="10">
        <f t="shared" si="8"/>
        <v>76</v>
      </c>
      <c r="K28" s="10">
        <f t="shared" si="8"/>
        <v>67</v>
      </c>
      <c r="L28" s="10">
        <f t="shared" si="8"/>
        <v>47</v>
      </c>
      <c r="M28" s="10">
        <f t="shared" ref="M28" si="9">SUM(M24,M26)</f>
        <v>87</v>
      </c>
      <c r="N28" s="27">
        <f t="shared" si="8"/>
        <v>717</v>
      </c>
      <c r="O28" s="34"/>
      <c r="P28" s="37"/>
      <c r="Q28" s="40"/>
      <c r="R28" s="21"/>
    </row>
    <row r="29" spans="1:18" ht="15.75" thickBot="1">
      <c r="A29" s="44"/>
      <c r="B29" s="44"/>
      <c r="C29" s="57"/>
      <c r="D29" s="13" t="s">
        <v>14</v>
      </c>
      <c r="E29" s="14">
        <f>E28 / E27</f>
        <v>0.39333333333333331</v>
      </c>
      <c r="F29" s="14">
        <f t="shared" ref="F29:L29" si="10">F28 / F27</f>
        <v>0.46</v>
      </c>
      <c r="G29" s="14">
        <f t="shared" si="10"/>
        <v>0.62</v>
      </c>
      <c r="H29" s="14">
        <f t="shared" si="10"/>
        <v>0.3</v>
      </c>
      <c r="I29" s="14">
        <f t="shared" si="10"/>
        <v>0.64</v>
      </c>
      <c r="J29" s="14">
        <f t="shared" si="10"/>
        <v>0.50666666666666671</v>
      </c>
      <c r="K29" s="14">
        <f t="shared" si="10"/>
        <v>0.44666666666666666</v>
      </c>
      <c r="L29" s="14">
        <f t="shared" si="10"/>
        <v>0.31333333333333335</v>
      </c>
      <c r="M29" s="14">
        <f t="shared" ref="M29" si="11">M28 / M27</f>
        <v>0.57999999999999996</v>
      </c>
      <c r="N29" s="49"/>
      <c r="O29" s="35"/>
      <c r="P29" s="38"/>
      <c r="Q29" s="41"/>
      <c r="R29" s="22"/>
    </row>
    <row r="30" spans="1:18">
      <c r="K30" s="17"/>
      <c r="L30" s="17"/>
      <c r="M30" s="16"/>
    </row>
  </sheetData>
  <mergeCells count="55">
    <mergeCell ref="A1:R3"/>
    <mergeCell ref="A5:A11"/>
    <mergeCell ref="B5:B11"/>
    <mergeCell ref="D5:D6"/>
    <mergeCell ref="O5:O6"/>
    <mergeCell ref="P5:P6"/>
    <mergeCell ref="Q5:Q6"/>
    <mergeCell ref="R5:R11"/>
    <mergeCell ref="D7:D8"/>
    <mergeCell ref="C5:C7"/>
    <mergeCell ref="C9:C11"/>
    <mergeCell ref="O7:O8"/>
    <mergeCell ref="P7:P8"/>
    <mergeCell ref="Q7:Q8"/>
    <mergeCell ref="D9:D10"/>
    <mergeCell ref="O9:O11"/>
    <mergeCell ref="P9:P11"/>
    <mergeCell ref="Q9:Q11"/>
    <mergeCell ref="N10:N11"/>
    <mergeCell ref="A14:A20"/>
    <mergeCell ref="B14:B20"/>
    <mergeCell ref="D14:D15"/>
    <mergeCell ref="O14:O15"/>
    <mergeCell ref="N19:N20"/>
    <mergeCell ref="C14:C16"/>
    <mergeCell ref="C18:C20"/>
    <mergeCell ref="Q14:Q15"/>
    <mergeCell ref="R14:R20"/>
    <mergeCell ref="D16:D17"/>
    <mergeCell ref="O16:O17"/>
    <mergeCell ref="P16:P17"/>
    <mergeCell ref="Q16:Q17"/>
    <mergeCell ref="D18:D19"/>
    <mergeCell ref="O18:O20"/>
    <mergeCell ref="P18:P20"/>
    <mergeCell ref="Q18:Q20"/>
    <mergeCell ref="P14:P15"/>
    <mergeCell ref="A23:A29"/>
    <mergeCell ref="B23:B29"/>
    <mergeCell ref="D23:D24"/>
    <mergeCell ref="O23:O24"/>
    <mergeCell ref="N28:N29"/>
    <mergeCell ref="C23:C25"/>
    <mergeCell ref="C27:C29"/>
    <mergeCell ref="Q23:Q24"/>
    <mergeCell ref="R23:R29"/>
    <mergeCell ref="D25:D26"/>
    <mergeCell ref="O25:O26"/>
    <mergeCell ref="P25:P26"/>
    <mergeCell ref="Q25:Q26"/>
    <mergeCell ref="D27:D28"/>
    <mergeCell ref="O27:O29"/>
    <mergeCell ref="P27:P29"/>
    <mergeCell ref="Q27:Q29"/>
    <mergeCell ref="P23:P24"/>
  </mergeCells>
  <pageMargins left="0.25" right="0.25" top="0.75" bottom="0.75" header="0.3" footer="0.3"/>
  <pageSetup scale="9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0"/>
  <sheetViews>
    <sheetView view="pageBreakPreview" topLeftCell="A14" zoomScaleNormal="115" zoomScaleSheetLayoutView="100" workbookViewId="0">
      <selection activeCell="C34" sqref="C34"/>
    </sheetView>
  </sheetViews>
  <sheetFormatPr defaultRowHeight="15"/>
  <cols>
    <col min="1" max="1" width="4.140625" customWidth="1"/>
    <col min="2" max="2" width="5.85546875" customWidth="1"/>
    <col min="3" max="3" width="16.140625" customWidth="1"/>
    <col min="5" max="5" width="6.85546875" customWidth="1"/>
    <col min="6" max="6" width="6" customWidth="1"/>
    <col min="7" max="7" width="7" customWidth="1"/>
    <col min="8" max="8" width="7.28515625" customWidth="1"/>
    <col min="9" max="9" width="8.42578125" customWidth="1"/>
    <col min="10" max="10" width="5.5703125" customWidth="1"/>
    <col min="11" max="11" width="7.85546875" customWidth="1"/>
    <col min="12" max="12" width="5.42578125" customWidth="1"/>
    <col min="13" max="13" width="6.42578125" customWidth="1"/>
    <col min="14" max="14" width="7.42578125" customWidth="1"/>
    <col min="15" max="15" width="6" customWidth="1"/>
    <col min="16" max="16" width="6.28515625" customWidth="1"/>
    <col min="17" max="17" width="8" customWidth="1"/>
    <col min="18" max="18" width="10.7109375" customWidth="1"/>
  </cols>
  <sheetData>
    <row r="1" spans="1:18" ht="15" customHeight="1">
      <c r="A1" s="50" t="s">
        <v>23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</row>
    <row r="3" spans="1:18" ht="27.95" customHeight="1" thickBot="1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8" ht="29.25" thickBot="1">
      <c r="A4" s="1" t="s">
        <v>0</v>
      </c>
      <c r="B4" s="2" t="s">
        <v>1</v>
      </c>
      <c r="C4" s="56" t="s">
        <v>2</v>
      </c>
      <c r="D4" s="3" t="s">
        <v>3</v>
      </c>
      <c r="E4" s="3" t="s">
        <v>4</v>
      </c>
      <c r="F4" s="3" t="s">
        <v>6</v>
      </c>
      <c r="G4" s="3" t="s">
        <v>7</v>
      </c>
      <c r="H4" s="4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5</v>
      </c>
      <c r="N4" s="3" t="s">
        <v>13</v>
      </c>
      <c r="O4" s="5" t="s">
        <v>14</v>
      </c>
      <c r="P4" s="5" t="s">
        <v>15</v>
      </c>
      <c r="Q4" s="5" t="s">
        <v>16</v>
      </c>
      <c r="R4" s="6" t="s">
        <v>17</v>
      </c>
    </row>
    <row r="5" spans="1:18" ht="15.75" customHeight="1" thickTop="1">
      <c r="A5" s="42" t="s">
        <v>70</v>
      </c>
      <c r="B5" s="42">
        <v>616</v>
      </c>
      <c r="C5" s="57" t="s">
        <v>71</v>
      </c>
      <c r="D5" s="18" t="s">
        <v>18</v>
      </c>
      <c r="E5" s="9">
        <v>75</v>
      </c>
      <c r="F5" s="9">
        <v>75</v>
      </c>
      <c r="G5" s="9">
        <v>100</v>
      </c>
      <c r="H5" s="9">
        <v>100</v>
      </c>
      <c r="I5" s="9">
        <v>100</v>
      </c>
      <c r="J5" s="9">
        <v>75</v>
      </c>
      <c r="K5" s="9">
        <v>75</v>
      </c>
      <c r="L5" s="9">
        <v>75</v>
      </c>
      <c r="M5" s="9">
        <v>75</v>
      </c>
      <c r="N5" s="9">
        <f>SUM(E5:M5)</f>
        <v>750</v>
      </c>
      <c r="O5" s="47">
        <f>N6/750</f>
        <v>0.57333333333333336</v>
      </c>
      <c r="P5" s="48"/>
      <c r="Q5" s="18"/>
      <c r="R5" s="20"/>
    </row>
    <row r="6" spans="1:18">
      <c r="A6" s="43"/>
      <c r="B6" s="43"/>
      <c r="C6" s="57"/>
      <c r="D6" s="19"/>
      <c r="E6" s="10">
        <v>25</v>
      </c>
      <c r="F6" s="10">
        <v>55</v>
      </c>
      <c r="G6" s="10">
        <v>60</v>
      </c>
      <c r="H6" s="10">
        <v>42</v>
      </c>
      <c r="I6" s="10">
        <v>66</v>
      </c>
      <c r="J6" s="10">
        <v>27</v>
      </c>
      <c r="K6" s="10">
        <v>51</v>
      </c>
      <c r="L6" s="10">
        <v>59</v>
      </c>
      <c r="M6" s="10">
        <v>45</v>
      </c>
      <c r="N6" s="10">
        <f>SUM(E6:M6)</f>
        <v>430</v>
      </c>
      <c r="O6" s="26"/>
      <c r="P6" s="28"/>
      <c r="Q6" s="19"/>
      <c r="R6" s="21"/>
    </row>
    <row r="7" spans="1:18" ht="15" customHeight="1">
      <c r="A7" s="43"/>
      <c r="B7" s="43"/>
      <c r="C7" s="57"/>
      <c r="D7" s="23" t="s">
        <v>19</v>
      </c>
      <c r="E7" s="11">
        <v>75</v>
      </c>
      <c r="F7" s="12">
        <v>75</v>
      </c>
      <c r="G7" s="12">
        <v>100</v>
      </c>
      <c r="H7" s="12">
        <v>100</v>
      </c>
      <c r="I7" s="12">
        <v>100</v>
      </c>
      <c r="J7" s="12">
        <v>75</v>
      </c>
      <c r="K7" s="12">
        <v>75</v>
      </c>
      <c r="L7" s="12">
        <v>75</v>
      </c>
      <c r="M7" s="12">
        <v>75</v>
      </c>
      <c r="N7" s="9">
        <f>SUM(E7:M7)</f>
        <v>750</v>
      </c>
      <c r="O7" s="25">
        <f>N8/750</f>
        <v>0.60533333333333328</v>
      </c>
      <c r="P7" s="27"/>
      <c r="Q7" s="29" t="s">
        <v>21</v>
      </c>
      <c r="R7" s="21"/>
    </row>
    <row r="8" spans="1:18" ht="15" customHeight="1">
      <c r="A8" s="43"/>
      <c r="B8" s="43"/>
      <c r="C8" s="58" t="s">
        <v>26</v>
      </c>
      <c r="D8" s="24"/>
      <c r="E8" s="10">
        <v>34</v>
      </c>
      <c r="F8" s="10">
        <v>58</v>
      </c>
      <c r="G8" s="10">
        <v>53</v>
      </c>
      <c r="H8" s="10">
        <v>45</v>
      </c>
      <c r="I8" s="10">
        <v>73</v>
      </c>
      <c r="J8" s="10">
        <v>33</v>
      </c>
      <c r="K8" s="10">
        <v>46</v>
      </c>
      <c r="L8" s="10">
        <v>57</v>
      </c>
      <c r="M8" s="10">
        <v>55</v>
      </c>
      <c r="N8" s="10">
        <f>SUM(E8:M8)</f>
        <v>454</v>
      </c>
      <c r="O8" s="26"/>
      <c r="P8" s="28"/>
      <c r="Q8" s="30"/>
      <c r="R8" s="21"/>
    </row>
    <row r="9" spans="1:18" ht="15" customHeight="1">
      <c r="A9" s="43"/>
      <c r="B9" s="43"/>
      <c r="C9" s="57" t="s">
        <v>72</v>
      </c>
      <c r="D9" s="31" t="s">
        <v>22</v>
      </c>
      <c r="E9" s="11">
        <v>150</v>
      </c>
      <c r="F9" s="12">
        <v>150</v>
      </c>
      <c r="G9" s="12">
        <v>200</v>
      </c>
      <c r="H9" s="12">
        <v>200</v>
      </c>
      <c r="I9" s="12">
        <v>200</v>
      </c>
      <c r="J9" s="12">
        <v>150</v>
      </c>
      <c r="K9" s="12">
        <v>150</v>
      </c>
      <c r="L9" s="12">
        <v>150</v>
      </c>
      <c r="M9" s="12">
        <v>150</v>
      </c>
      <c r="N9" s="9">
        <f>SUM(E9:M9)</f>
        <v>1500</v>
      </c>
      <c r="O9" s="33">
        <f>N10/1500</f>
        <v>0.58933333333333338</v>
      </c>
      <c r="P9" s="36"/>
      <c r="Q9" s="39"/>
      <c r="R9" s="21"/>
    </row>
    <row r="10" spans="1:18">
      <c r="A10" s="43"/>
      <c r="B10" s="43"/>
      <c r="C10" s="57"/>
      <c r="D10" s="32"/>
      <c r="E10" s="10">
        <f>SUM(E8,E6)</f>
        <v>59</v>
      </c>
      <c r="F10" s="10">
        <f t="shared" ref="F10:N10" si="0">SUM(F6,F8)</f>
        <v>113</v>
      </c>
      <c r="G10" s="10">
        <f t="shared" si="0"/>
        <v>113</v>
      </c>
      <c r="H10" s="10">
        <f t="shared" si="0"/>
        <v>87</v>
      </c>
      <c r="I10" s="10">
        <f t="shared" si="0"/>
        <v>139</v>
      </c>
      <c r="J10" s="10">
        <f t="shared" si="0"/>
        <v>60</v>
      </c>
      <c r="K10" s="10">
        <f t="shared" si="0"/>
        <v>97</v>
      </c>
      <c r="L10" s="10">
        <f t="shared" si="0"/>
        <v>116</v>
      </c>
      <c r="M10" s="10">
        <f t="shared" si="0"/>
        <v>100</v>
      </c>
      <c r="N10" s="27">
        <f t="shared" si="0"/>
        <v>884</v>
      </c>
      <c r="O10" s="34"/>
      <c r="P10" s="37"/>
      <c r="Q10" s="40"/>
      <c r="R10" s="21"/>
    </row>
    <row r="11" spans="1:18" ht="15.75" thickBot="1">
      <c r="A11" s="44"/>
      <c r="B11" s="44"/>
      <c r="C11" s="57"/>
      <c r="D11" s="13" t="s">
        <v>14</v>
      </c>
      <c r="E11" s="14">
        <f>E10 / E9</f>
        <v>0.39333333333333331</v>
      </c>
      <c r="F11" s="14">
        <f t="shared" ref="F11:M11" si="1">F10 / F9</f>
        <v>0.7533333333333333</v>
      </c>
      <c r="G11" s="14">
        <f t="shared" si="1"/>
        <v>0.56499999999999995</v>
      </c>
      <c r="H11" s="14">
        <f t="shared" si="1"/>
        <v>0.435</v>
      </c>
      <c r="I11" s="14">
        <f t="shared" si="1"/>
        <v>0.69499999999999995</v>
      </c>
      <c r="J11" s="14">
        <f t="shared" si="1"/>
        <v>0.4</v>
      </c>
      <c r="K11" s="14">
        <f t="shared" si="1"/>
        <v>0.64666666666666661</v>
      </c>
      <c r="L11" s="14">
        <f t="shared" si="1"/>
        <v>0.77333333333333332</v>
      </c>
      <c r="M11" s="14">
        <f t="shared" si="1"/>
        <v>0.66666666666666663</v>
      </c>
      <c r="N11" s="49"/>
      <c r="O11" s="35"/>
      <c r="P11" s="38"/>
      <c r="Q11" s="41"/>
      <c r="R11" s="22"/>
    </row>
    <row r="12" spans="1:18" ht="15.75" thickBo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spans="1:18" ht="29.25" thickBot="1">
      <c r="A13" s="1" t="s">
        <v>0</v>
      </c>
      <c r="B13" s="2" t="s">
        <v>1</v>
      </c>
      <c r="C13" s="56" t="s">
        <v>2</v>
      </c>
      <c r="D13" s="3" t="s">
        <v>3</v>
      </c>
      <c r="E13" s="3" t="s">
        <v>4</v>
      </c>
      <c r="F13" s="3" t="s">
        <v>6</v>
      </c>
      <c r="G13" s="3" t="s">
        <v>7</v>
      </c>
      <c r="H13" s="4" t="s">
        <v>8</v>
      </c>
      <c r="I13" s="3" t="s">
        <v>9</v>
      </c>
      <c r="J13" s="3" t="s">
        <v>10</v>
      </c>
      <c r="K13" s="3" t="s">
        <v>11</v>
      </c>
      <c r="L13" s="3" t="s">
        <v>12</v>
      </c>
      <c r="M13" s="3" t="s">
        <v>5</v>
      </c>
      <c r="N13" s="3" t="s">
        <v>13</v>
      </c>
      <c r="O13" s="5" t="s">
        <v>14</v>
      </c>
      <c r="P13" s="5" t="s">
        <v>15</v>
      </c>
      <c r="Q13" s="5" t="s">
        <v>16</v>
      </c>
      <c r="R13" s="6" t="s">
        <v>17</v>
      </c>
    </row>
    <row r="14" spans="1:18" ht="15.75" customHeight="1" thickTop="1">
      <c r="A14" s="42" t="s">
        <v>73</v>
      </c>
      <c r="B14" s="42">
        <v>617</v>
      </c>
      <c r="C14" s="57" t="s">
        <v>76</v>
      </c>
      <c r="D14" s="18" t="s">
        <v>18</v>
      </c>
      <c r="E14" s="9">
        <v>75</v>
      </c>
      <c r="F14" s="9">
        <v>75</v>
      </c>
      <c r="G14" s="9">
        <v>100</v>
      </c>
      <c r="H14" s="9">
        <v>100</v>
      </c>
      <c r="I14" s="9">
        <v>100</v>
      </c>
      <c r="J14" s="9">
        <v>75</v>
      </c>
      <c r="K14" s="9">
        <v>75</v>
      </c>
      <c r="L14" s="9">
        <v>75</v>
      </c>
      <c r="M14" s="9">
        <v>75</v>
      </c>
      <c r="N14" s="9">
        <f>SUM(E14:M14)</f>
        <v>750</v>
      </c>
      <c r="O14" s="47">
        <f>N15/750</f>
        <v>0.50266666666666671</v>
      </c>
      <c r="P14" s="48"/>
      <c r="Q14" s="18"/>
      <c r="R14" s="20"/>
    </row>
    <row r="15" spans="1:18">
      <c r="A15" s="43"/>
      <c r="B15" s="43"/>
      <c r="C15" s="57"/>
      <c r="D15" s="19"/>
      <c r="E15" s="10">
        <v>13</v>
      </c>
      <c r="F15" s="10">
        <v>51</v>
      </c>
      <c r="G15" s="10">
        <v>51</v>
      </c>
      <c r="H15" s="10">
        <v>42</v>
      </c>
      <c r="I15" s="10">
        <v>62</v>
      </c>
      <c r="J15" s="10">
        <v>22</v>
      </c>
      <c r="K15" s="10">
        <v>54</v>
      </c>
      <c r="L15" s="10">
        <v>52</v>
      </c>
      <c r="M15" s="10">
        <v>30</v>
      </c>
      <c r="N15" s="10">
        <f>SUM(E15:M15)</f>
        <v>377</v>
      </c>
      <c r="O15" s="26"/>
      <c r="P15" s="28"/>
      <c r="Q15" s="19"/>
      <c r="R15" s="21"/>
    </row>
    <row r="16" spans="1:18" ht="15" customHeight="1">
      <c r="A16" s="43"/>
      <c r="B16" s="43"/>
      <c r="C16" s="57"/>
      <c r="D16" s="23" t="s">
        <v>19</v>
      </c>
      <c r="E16" s="11">
        <v>75</v>
      </c>
      <c r="F16" s="12">
        <v>75</v>
      </c>
      <c r="G16" s="12">
        <v>100</v>
      </c>
      <c r="H16" s="12">
        <v>100</v>
      </c>
      <c r="I16" s="12">
        <v>100</v>
      </c>
      <c r="J16" s="12">
        <v>75</v>
      </c>
      <c r="K16" s="12">
        <v>75</v>
      </c>
      <c r="L16" s="12">
        <v>75</v>
      </c>
      <c r="M16" s="12">
        <v>75</v>
      </c>
      <c r="N16" s="9">
        <f>SUM(E16:M16)</f>
        <v>750</v>
      </c>
      <c r="O16" s="25">
        <f>N17/750</f>
        <v>0.57066666666666666</v>
      </c>
      <c r="P16" s="27"/>
      <c r="Q16" s="29" t="s">
        <v>21</v>
      </c>
      <c r="R16" s="21"/>
    </row>
    <row r="17" spans="1:18" ht="15" customHeight="1">
      <c r="A17" s="43"/>
      <c r="B17" s="43"/>
      <c r="C17" s="58" t="s">
        <v>26</v>
      </c>
      <c r="D17" s="24"/>
      <c r="E17" s="10">
        <v>32</v>
      </c>
      <c r="F17" s="10">
        <v>57</v>
      </c>
      <c r="G17" s="10">
        <v>50</v>
      </c>
      <c r="H17" s="10">
        <v>50</v>
      </c>
      <c r="I17" s="10">
        <v>62</v>
      </c>
      <c r="J17" s="10">
        <v>47</v>
      </c>
      <c r="K17" s="10">
        <v>42</v>
      </c>
      <c r="L17" s="10">
        <v>40</v>
      </c>
      <c r="M17" s="10">
        <v>48</v>
      </c>
      <c r="N17" s="10">
        <f>SUM(E17:M17)</f>
        <v>428</v>
      </c>
      <c r="O17" s="26"/>
      <c r="P17" s="28"/>
      <c r="Q17" s="30"/>
      <c r="R17" s="21"/>
    </row>
    <row r="18" spans="1:18" ht="15" customHeight="1">
      <c r="A18" s="43"/>
      <c r="B18" s="43"/>
      <c r="C18" s="57" t="s">
        <v>77</v>
      </c>
      <c r="D18" s="31" t="s">
        <v>22</v>
      </c>
      <c r="E18" s="11">
        <v>150</v>
      </c>
      <c r="F18" s="12">
        <v>150</v>
      </c>
      <c r="G18" s="12">
        <v>200</v>
      </c>
      <c r="H18" s="12">
        <v>200</v>
      </c>
      <c r="I18" s="12">
        <v>200</v>
      </c>
      <c r="J18" s="12">
        <v>150</v>
      </c>
      <c r="K18" s="12">
        <v>150</v>
      </c>
      <c r="L18" s="12">
        <v>150</v>
      </c>
      <c r="M18" s="12">
        <v>150</v>
      </c>
      <c r="N18" s="9">
        <f>SUM(E18:M18)</f>
        <v>1500</v>
      </c>
      <c r="O18" s="33">
        <f>N19/1500</f>
        <v>0.53666666666666663</v>
      </c>
      <c r="P18" s="36" t="s">
        <v>20</v>
      </c>
      <c r="Q18" s="39"/>
      <c r="R18" s="21"/>
    </row>
    <row r="19" spans="1:18">
      <c r="A19" s="43"/>
      <c r="B19" s="43"/>
      <c r="C19" s="57"/>
      <c r="D19" s="32"/>
      <c r="E19" s="10">
        <f>SUM(E17,E15)</f>
        <v>45</v>
      </c>
      <c r="F19" s="10">
        <f t="shared" ref="F19:N19" si="2">SUM(F15,F17)</f>
        <v>108</v>
      </c>
      <c r="G19" s="10">
        <f t="shared" si="2"/>
        <v>101</v>
      </c>
      <c r="H19" s="10">
        <f t="shared" si="2"/>
        <v>92</v>
      </c>
      <c r="I19" s="10">
        <f t="shared" si="2"/>
        <v>124</v>
      </c>
      <c r="J19" s="10">
        <f t="shared" si="2"/>
        <v>69</v>
      </c>
      <c r="K19" s="10">
        <f t="shared" si="2"/>
        <v>96</v>
      </c>
      <c r="L19" s="10">
        <f t="shared" si="2"/>
        <v>92</v>
      </c>
      <c r="M19" s="10">
        <f t="shared" si="2"/>
        <v>78</v>
      </c>
      <c r="N19" s="27">
        <f t="shared" si="2"/>
        <v>805</v>
      </c>
      <c r="O19" s="34"/>
      <c r="P19" s="37"/>
      <c r="Q19" s="40"/>
      <c r="R19" s="21"/>
    </row>
    <row r="20" spans="1:18" ht="15.75" thickBot="1">
      <c r="A20" s="44"/>
      <c r="B20" s="44"/>
      <c r="C20" s="67"/>
      <c r="D20" s="13" t="s">
        <v>14</v>
      </c>
      <c r="E20" s="14">
        <f>E19 / E18</f>
        <v>0.3</v>
      </c>
      <c r="F20" s="14">
        <f t="shared" ref="F20:M20" si="3">F19 / F18</f>
        <v>0.72</v>
      </c>
      <c r="G20" s="14">
        <f t="shared" si="3"/>
        <v>0.505</v>
      </c>
      <c r="H20" s="14">
        <f t="shared" si="3"/>
        <v>0.46</v>
      </c>
      <c r="I20" s="14">
        <f t="shared" si="3"/>
        <v>0.62</v>
      </c>
      <c r="J20" s="14">
        <f t="shared" si="3"/>
        <v>0.46</v>
      </c>
      <c r="K20" s="14">
        <f t="shared" si="3"/>
        <v>0.64</v>
      </c>
      <c r="L20" s="14">
        <f t="shared" si="3"/>
        <v>0.61333333333333329</v>
      </c>
      <c r="M20" s="14">
        <f t="shared" si="3"/>
        <v>0.52</v>
      </c>
      <c r="N20" s="49"/>
      <c r="O20" s="35"/>
      <c r="P20" s="38"/>
      <c r="Q20" s="41"/>
      <c r="R20" s="22"/>
    </row>
    <row r="21" spans="1:18" ht="15.75" thickBot="1"/>
    <row r="22" spans="1:18" ht="29.25" thickBot="1">
      <c r="A22" s="1" t="s">
        <v>0</v>
      </c>
      <c r="B22" s="2" t="s">
        <v>1</v>
      </c>
      <c r="C22" s="56" t="s">
        <v>2</v>
      </c>
      <c r="D22" s="3" t="s">
        <v>3</v>
      </c>
      <c r="E22" s="3" t="s">
        <v>4</v>
      </c>
      <c r="F22" s="3" t="s">
        <v>6</v>
      </c>
      <c r="G22" s="3" t="s">
        <v>7</v>
      </c>
      <c r="H22" s="4" t="s">
        <v>8</v>
      </c>
      <c r="I22" s="3" t="s">
        <v>9</v>
      </c>
      <c r="J22" s="3" t="s">
        <v>10</v>
      </c>
      <c r="K22" s="3" t="s">
        <v>11</v>
      </c>
      <c r="L22" s="3" t="s">
        <v>12</v>
      </c>
      <c r="M22" s="3" t="s">
        <v>5</v>
      </c>
      <c r="N22" s="3" t="s">
        <v>13</v>
      </c>
      <c r="O22" s="5" t="s">
        <v>14</v>
      </c>
      <c r="P22" s="5" t="s">
        <v>15</v>
      </c>
      <c r="Q22" s="5" t="s">
        <v>16</v>
      </c>
      <c r="R22" s="6" t="s">
        <v>17</v>
      </c>
    </row>
    <row r="23" spans="1:18" ht="15.75" customHeight="1" thickTop="1">
      <c r="A23" s="42" t="s">
        <v>74</v>
      </c>
      <c r="B23" s="42">
        <v>618</v>
      </c>
      <c r="C23" s="57" t="s">
        <v>78</v>
      </c>
      <c r="D23" s="18" t="s">
        <v>18</v>
      </c>
      <c r="E23" s="9">
        <v>75</v>
      </c>
      <c r="F23" s="9">
        <v>75</v>
      </c>
      <c r="G23" s="9">
        <v>100</v>
      </c>
      <c r="H23" s="9">
        <v>100</v>
      </c>
      <c r="I23" s="9">
        <v>100</v>
      </c>
      <c r="J23" s="9">
        <v>75</v>
      </c>
      <c r="K23" s="9">
        <v>75</v>
      </c>
      <c r="L23" s="9">
        <v>75</v>
      </c>
      <c r="M23" s="9">
        <v>75</v>
      </c>
      <c r="N23" s="9">
        <f>SUM(E23:M23)</f>
        <v>750</v>
      </c>
      <c r="O23" s="47">
        <f>N24/750</f>
        <v>0.52666666666666662</v>
      </c>
      <c r="P23" s="48"/>
      <c r="Q23" s="18"/>
      <c r="R23" s="20"/>
    </row>
    <row r="24" spans="1:18">
      <c r="A24" s="43"/>
      <c r="B24" s="43"/>
      <c r="C24" s="57"/>
      <c r="D24" s="19"/>
      <c r="E24" s="10">
        <v>38</v>
      </c>
      <c r="F24" s="10">
        <v>30</v>
      </c>
      <c r="G24" s="10">
        <v>81</v>
      </c>
      <c r="H24" s="10">
        <v>50</v>
      </c>
      <c r="I24" s="10">
        <v>85</v>
      </c>
      <c r="J24" s="10">
        <v>24</v>
      </c>
      <c r="K24" s="10">
        <v>42</v>
      </c>
      <c r="L24" s="10">
        <v>21</v>
      </c>
      <c r="M24" s="10">
        <v>24</v>
      </c>
      <c r="N24" s="10">
        <f>SUM(E24:M24)</f>
        <v>395</v>
      </c>
      <c r="O24" s="26"/>
      <c r="P24" s="28"/>
      <c r="Q24" s="19"/>
      <c r="R24" s="21"/>
    </row>
    <row r="25" spans="1:18" ht="15" customHeight="1">
      <c r="A25" s="43"/>
      <c r="B25" s="43"/>
      <c r="C25" s="57"/>
      <c r="D25" s="23" t="s">
        <v>19</v>
      </c>
      <c r="E25" s="11">
        <v>75</v>
      </c>
      <c r="F25" s="12">
        <v>75</v>
      </c>
      <c r="G25" s="12">
        <v>100</v>
      </c>
      <c r="H25" s="12">
        <v>100</v>
      </c>
      <c r="I25" s="12">
        <v>100</v>
      </c>
      <c r="J25" s="12">
        <v>75</v>
      </c>
      <c r="K25" s="12">
        <v>75</v>
      </c>
      <c r="L25" s="12">
        <v>75</v>
      </c>
      <c r="M25" s="12">
        <v>75</v>
      </c>
      <c r="N25" s="9">
        <f>SUM(E25:M25)</f>
        <v>750</v>
      </c>
      <c r="O25" s="25">
        <f>N26/750</f>
        <v>0.59199999999999997</v>
      </c>
      <c r="P25" s="27"/>
      <c r="Q25" s="29" t="s">
        <v>21</v>
      </c>
      <c r="R25" s="21"/>
    </row>
    <row r="26" spans="1:18" ht="15" customHeight="1">
      <c r="A26" s="43"/>
      <c r="B26" s="43"/>
      <c r="C26" s="8" t="s">
        <v>26</v>
      </c>
      <c r="D26" s="24"/>
      <c r="E26" s="10">
        <v>38</v>
      </c>
      <c r="F26" s="10">
        <v>49</v>
      </c>
      <c r="G26" s="10">
        <v>58</v>
      </c>
      <c r="H26" s="10">
        <v>55</v>
      </c>
      <c r="I26" s="10">
        <v>72</v>
      </c>
      <c r="J26" s="10">
        <v>52</v>
      </c>
      <c r="K26" s="10">
        <v>38</v>
      </c>
      <c r="L26" s="10">
        <v>30</v>
      </c>
      <c r="M26" s="10">
        <v>52</v>
      </c>
      <c r="N26" s="10">
        <f>SUM(E26:M26)</f>
        <v>444</v>
      </c>
      <c r="O26" s="26"/>
      <c r="P26" s="28"/>
      <c r="Q26" s="30"/>
      <c r="R26" s="21"/>
    </row>
    <row r="27" spans="1:18" ht="15" customHeight="1">
      <c r="A27" s="43"/>
      <c r="B27" s="43"/>
      <c r="C27" s="57" t="s">
        <v>79</v>
      </c>
      <c r="D27" s="31" t="s">
        <v>22</v>
      </c>
      <c r="E27" s="11">
        <v>150</v>
      </c>
      <c r="F27" s="12">
        <v>150</v>
      </c>
      <c r="G27" s="12">
        <v>200</v>
      </c>
      <c r="H27" s="12">
        <v>200</v>
      </c>
      <c r="I27" s="12">
        <v>200</v>
      </c>
      <c r="J27" s="12">
        <v>150</v>
      </c>
      <c r="K27" s="12">
        <v>150</v>
      </c>
      <c r="L27" s="12">
        <v>150</v>
      </c>
      <c r="M27" s="12">
        <v>150</v>
      </c>
      <c r="N27" s="9">
        <f>SUM(E27:M27)</f>
        <v>1500</v>
      </c>
      <c r="O27" s="33">
        <f>N28/1500</f>
        <v>0.55933333333333335</v>
      </c>
      <c r="P27" s="36"/>
      <c r="Q27" s="39"/>
      <c r="R27" s="21"/>
    </row>
    <row r="28" spans="1:18">
      <c r="A28" s="43"/>
      <c r="B28" s="43"/>
      <c r="C28" s="57"/>
      <c r="D28" s="32"/>
      <c r="E28" s="10">
        <f>SUM(E26,E24)</f>
        <v>76</v>
      </c>
      <c r="F28" s="10">
        <f t="shared" ref="F28:N28" si="4">SUM(F24,F26)</f>
        <v>79</v>
      </c>
      <c r="G28" s="10">
        <f t="shared" si="4"/>
        <v>139</v>
      </c>
      <c r="H28" s="10">
        <f t="shared" si="4"/>
        <v>105</v>
      </c>
      <c r="I28" s="10">
        <f t="shared" si="4"/>
        <v>157</v>
      </c>
      <c r="J28" s="10">
        <f t="shared" si="4"/>
        <v>76</v>
      </c>
      <c r="K28" s="10">
        <f t="shared" si="4"/>
        <v>80</v>
      </c>
      <c r="L28" s="10">
        <f t="shared" si="4"/>
        <v>51</v>
      </c>
      <c r="M28" s="10">
        <f t="shared" si="4"/>
        <v>76</v>
      </c>
      <c r="N28" s="27">
        <f t="shared" si="4"/>
        <v>839</v>
      </c>
      <c r="O28" s="34"/>
      <c r="P28" s="37"/>
      <c r="Q28" s="40"/>
      <c r="R28" s="21"/>
    </row>
    <row r="29" spans="1:18" ht="15.75" thickBot="1">
      <c r="A29" s="44"/>
      <c r="B29" s="44"/>
      <c r="C29" s="67"/>
      <c r="D29" s="13" t="s">
        <v>14</v>
      </c>
      <c r="E29" s="14">
        <f>E28 / E27</f>
        <v>0.50666666666666671</v>
      </c>
      <c r="F29" s="14">
        <f t="shared" ref="F29:M29" si="5">F28 / F27</f>
        <v>0.52666666666666662</v>
      </c>
      <c r="G29" s="14">
        <f t="shared" si="5"/>
        <v>0.69499999999999995</v>
      </c>
      <c r="H29" s="14">
        <f t="shared" si="5"/>
        <v>0.52500000000000002</v>
      </c>
      <c r="I29" s="14">
        <f t="shared" si="5"/>
        <v>0.78500000000000003</v>
      </c>
      <c r="J29" s="14">
        <f t="shared" si="5"/>
        <v>0.50666666666666671</v>
      </c>
      <c r="K29" s="14">
        <f t="shared" si="5"/>
        <v>0.53333333333333333</v>
      </c>
      <c r="L29" s="14">
        <f t="shared" si="5"/>
        <v>0.34</v>
      </c>
      <c r="M29" s="14">
        <f t="shared" si="5"/>
        <v>0.50666666666666671</v>
      </c>
      <c r="N29" s="49"/>
      <c r="O29" s="35"/>
      <c r="P29" s="38"/>
      <c r="Q29" s="41"/>
      <c r="R29" s="22"/>
    </row>
    <row r="30" spans="1:18">
      <c r="K30" s="17"/>
      <c r="L30" s="17"/>
      <c r="M30" s="16"/>
    </row>
  </sheetData>
  <mergeCells count="55">
    <mergeCell ref="Q23:Q24"/>
    <mergeCell ref="R23:R29"/>
    <mergeCell ref="D25:D26"/>
    <mergeCell ref="O25:O26"/>
    <mergeCell ref="P25:P26"/>
    <mergeCell ref="Q25:Q26"/>
    <mergeCell ref="D27:D28"/>
    <mergeCell ref="O27:O29"/>
    <mergeCell ref="P27:P29"/>
    <mergeCell ref="Q27:Q29"/>
    <mergeCell ref="A23:A29"/>
    <mergeCell ref="B23:B29"/>
    <mergeCell ref="C23:C25"/>
    <mergeCell ref="D23:D24"/>
    <mergeCell ref="O23:O24"/>
    <mergeCell ref="P23:P24"/>
    <mergeCell ref="C27:C29"/>
    <mergeCell ref="N28:N29"/>
    <mergeCell ref="Q14:Q15"/>
    <mergeCell ref="R14:R20"/>
    <mergeCell ref="D16:D17"/>
    <mergeCell ref="O16:O17"/>
    <mergeCell ref="P16:P17"/>
    <mergeCell ref="Q16:Q17"/>
    <mergeCell ref="D18:D19"/>
    <mergeCell ref="O18:O20"/>
    <mergeCell ref="P18:P20"/>
    <mergeCell ref="Q18:Q20"/>
    <mergeCell ref="A14:A20"/>
    <mergeCell ref="B14:B20"/>
    <mergeCell ref="C14:C16"/>
    <mergeCell ref="D14:D15"/>
    <mergeCell ref="O14:O15"/>
    <mergeCell ref="P14:P15"/>
    <mergeCell ref="C18:C20"/>
    <mergeCell ref="N19:N20"/>
    <mergeCell ref="O7:O8"/>
    <mergeCell ref="P7:P8"/>
    <mergeCell ref="Q7:Q8"/>
    <mergeCell ref="C9:C11"/>
    <mergeCell ref="D9:D10"/>
    <mergeCell ref="O9:O11"/>
    <mergeCell ref="P9:P11"/>
    <mergeCell ref="Q9:Q11"/>
    <mergeCell ref="N10:N11"/>
    <mergeCell ref="A1:R3"/>
    <mergeCell ref="A5:A11"/>
    <mergeCell ref="B5:B11"/>
    <mergeCell ref="C5:C7"/>
    <mergeCell ref="D5:D6"/>
    <mergeCell ref="O5:O6"/>
    <mergeCell ref="P5:P6"/>
    <mergeCell ref="Q5:Q6"/>
    <mergeCell ref="R5:R11"/>
    <mergeCell ref="D7:D8"/>
  </mergeCells>
  <pageMargins left="0.25" right="0.25" top="0.75" bottom="0.75" header="0.3" footer="0.3"/>
  <pageSetup scale="9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0"/>
  <sheetViews>
    <sheetView view="pageBreakPreview" zoomScaleNormal="115" zoomScaleSheetLayoutView="100" workbookViewId="0">
      <selection activeCell="P32" sqref="P32"/>
    </sheetView>
  </sheetViews>
  <sheetFormatPr defaultRowHeight="15"/>
  <cols>
    <col min="1" max="1" width="4.140625" customWidth="1"/>
    <col min="2" max="2" width="5.85546875" customWidth="1"/>
    <col min="3" max="3" width="16.140625" customWidth="1"/>
    <col min="5" max="5" width="6.85546875" customWidth="1"/>
    <col min="6" max="6" width="6" customWidth="1"/>
    <col min="7" max="7" width="7" customWidth="1"/>
    <col min="8" max="8" width="7.28515625" customWidth="1"/>
    <col min="9" max="9" width="8.42578125" customWidth="1"/>
    <col min="10" max="10" width="5.5703125" customWidth="1"/>
    <col min="11" max="11" width="7.85546875" customWidth="1"/>
    <col min="12" max="12" width="5.42578125" customWidth="1"/>
    <col min="13" max="13" width="6.42578125" customWidth="1"/>
    <col min="14" max="14" width="7.42578125" customWidth="1"/>
    <col min="15" max="15" width="6" customWidth="1"/>
    <col min="16" max="16" width="6.28515625" customWidth="1"/>
    <col min="17" max="17" width="8" customWidth="1"/>
    <col min="18" max="18" width="10.7109375" customWidth="1"/>
  </cols>
  <sheetData>
    <row r="1" spans="1:18" ht="15" customHeight="1">
      <c r="A1" s="50" t="s">
        <v>23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</row>
    <row r="3" spans="1:18" ht="33.6" customHeight="1" thickBot="1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8" ht="29.25" thickBot="1">
      <c r="A4" s="1" t="s">
        <v>0</v>
      </c>
      <c r="B4" s="2" t="s">
        <v>1</v>
      </c>
      <c r="C4" s="56" t="s">
        <v>2</v>
      </c>
      <c r="D4" s="3" t="s">
        <v>3</v>
      </c>
      <c r="E4" s="3" t="s">
        <v>4</v>
      </c>
      <c r="F4" s="3" t="s">
        <v>6</v>
      </c>
      <c r="G4" s="3" t="s">
        <v>7</v>
      </c>
      <c r="H4" s="4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5</v>
      </c>
      <c r="N4" s="3" t="s">
        <v>13</v>
      </c>
      <c r="O4" s="5" t="s">
        <v>14</v>
      </c>
      <c r="P4" s="5" t="s">
        <v>15</v>
      </c>
      <c r="Q4" s="5" t="s">
        <v>16</v>
      </c>
      <c r="R4" s="6" t="s">
        <v>17</v>
      </c>
    </row>
    <row r="5" spans="1:18" ht="15.75" customHeight="1" thickTop="1">
      <c r="A5" s="42" t="s">
        <v>75</v>
      </c>
      <c r="B5" s="42">
        <v>619</v>
      </c>
      <c r="C5" s="57" t="s">
        <v>80</v>
      </c>
      <c r="D5" s="18" t="s">
        <v>18</v>
      </c>
      <c r="E5" s="9">
        <v>75</v>
      </c>
      <c r="F5" s="9">
        <v>75</v>
      </c>
      <c r="G5" s="9">
        <v>100</v>
      </c>
      <c r="H5" s="9">
        <v>100</v>
      </c>
      <c r="I5" s="9">
        <v>100</v>
      </c>
      <c r="J5" s="9">
        <v>75</v>
      </c>
      <c r="K5" s="9">
        <v>75</v>
      </c>
      <c r="L5" s="9">
        <v>75</v>
      </c>
      <c r="M5" s="9">
        <v>75</v>
      </c>
      <c r="N5" s="9">
        <f>SUM(E5:M5)</f>
        <v>750</v>
      </c>
      <c r="O5" s="47">
        <f>N6/750</f>
        <v>0.68666666666666665</v>
      </c>
      <c r="P5" s="48" t="s">
        <v>38</v>
      </c>
      <c r="Q5" s="18"/>
      <c r="R5" s="20"/>
    </row>
    <row r="6" spans="1:18">
      <c r="A6" s="43"/>
      <c r="B6" s="43"/>
      <c r="C6" s="57"/>
      <c r="D6" s="19"/>
      <c r="E6" s="10">
        <v>48</v>
      </c>
      <c r="F6" s="10">
        <v>59</v>
      </c>
      <c r="G6" s="10">
        <v>59</v>
      </c>
      <c r="H6" s="10">
        <v>70</v>
      </c>
      <c r="I6" s="10">
        <v>90</v>
      </c>
      <c r="J6" s="10">
        <v>43</v>
      </c>
      <c r="K6" s="10">
        <v>55</v>
      </c>
      <c r="L6" s="10">
        <v>51</v>
      </c>
      <c r="M6" s="10">
        <v>40</v>
      </c>
      <c r="N6" s="10">
        <f>SUM(E6:M6)</f>
        <v>515</v>
      </c>
      <c r="O6" s="26"/>
      <c r="P6" s="28"/>
      <c r="Q6" s="19"/>
      <c r="R6" s="21"/>
    </row>
    <row r="7" spans="1:18" ht="15" customHeight="1">
      <c r="A7" s="43"/>
      <c r="B7" s="43"/>
      <c r="C7" s="57"/>
      <c r="D7" s="23" t="s">
        <v>19</v>
      </c>
      <c r="E7" s="11">
        <v>75</v>
      </c>
      <c r="F7" s="12">
        <v>75</v>
      </c>
      <c r="G7" s="12">
        <v>100</v>
      </c>
      <c r="H7" s="12">
        <v>100</v>
      </c>
      <c r="I7" s="12">
        <v>100</v>
      </c>
      <c r="J7" s="12">
        <v>75</v>
      </c>
      <c r="K7" s="12">
        <v>75</v>
      </c>
      <c r="L7" s="12">
        <v>75</v>
      </c>
      <c r="M7" s="12">
        <v>75</v>
      </c>
      <c r="N7" s="9">
        <f>SUM(E7:M7)</f>
        <v>750</v>
      </c>
      <c r="O7" s="25">
        <f>N8/750</f>
        <v>0.72799999999999998</v>
      </c>
      <c r="P7" s="27" t="s">
        <v>20</v>
      </c>
      <c r="Q7" s="29" t="s">
        <v>21</v>
      </c>
      <c r="R7" s="21"/>
    </row>
    <row r="8" spans="1:18" ht="15" customHeight="1">
      <c r="A8" s="43"/>
      <c r="B8" s="43"/>
      <c r="C8" s="8" t="s">
        <v>26</v>
      </c>
      <c r="D8" s="24"/>
      <c r="E8" s="10">
        <v>57</v>
      </c>
      <c r="F8" s="10">
        <v>63</v>
      </c>
      <c r="G8" s="10">
        <v>55</v>
      </c>
      <c r="H8" s="10">
        <v>70</v>
      </c>
      <c r="I8" s="10">
        <v>90</v>
      </c>
      <c r="J8" s="10">
        <v>54</v>
      </c>
      <c r="K8" s="10">
        <v>50</v>
      </c>
      <c r="L8" s="10">
        <v>50</v>
      </c>
      <c r="M8" s="10">
        <v>57</v>
      </c>
      <c r="N8" s="10">
        <f>SUM(E8:M8)</f>
        <v>546</v>
      </c>
      <c r="O8" s="26"/>
      <c r="P8" s="28"/>
      <c r="Q8" s="30"/>
      <c r="R8" s="21"/>
    </row>
    <row r="9" spans="1:18" ht="15" customHeight="1">
      <c r="A9" s="43"/>
      <c r="B9" s="43"/>
      <c r="C9" s="57" t="s">
        <v>81</v>
      </c>
      <c r="D9" s="31" t="s">
        <v>22</v>
      </c>
      <c r="E9" s="11">
        <v>150</v>
      </c>
      <c r="F9" s="12">
        <v>150</v>
      </c>
      <c r="G9" s="12">
        <v>200</v>
      </c>
      <c r="H9" s="12">
        <v>200</v>
      </c>
      <c r="I9" s="12">
        <v>200</v>
      </c>
      <c r="J9" s="12">
        <v>150</v>
      </c>
      <c r="K9" s="12">
        <v>150</v>
      </c>
      <c r="L9" s="12">
        <v>150</v>
      </c>
      <c r="M9" s="12">
        <v>150</v>
      </c>
      <c r="N9" s="9">
        <f>SUM(E9:M9)</f>
        <v>1500</v>
      </c>
      <c r="O9" s="33">
        <f>N10/1500</f>
        <v>0.70733333333333337</v>
      </c>
      <c r="P9" s="36" t="s">
        <v>38</v>
      </c>
      <c r="Q9" s="39"/>
      <c r="R9" s="21"/>
    </row>
    <row r="10" spans="1:18">
      <c r="A10" s="43"/>
      <c r="B10" s="43"/>
      <c r="C10" s="57"/>
      <c r="D10" s="32"/>
      <c r="E10" s="10">
        <f>SUM(E8,E6)</f>
        <v>105</v>
      </c>
      <c r="F10" s="10">
        <f t="shared" ref="F10:N10" si="0">SUM(F6,F8)</f>
        <v>122</v>
      </c>
      <c r="G10" s="10">
        <f t="shared" si="0"/>
        <v>114</v>
      </c>
      <c r="H10" s="10">
        <f t="shared" si="0"/>
        <v>140</v>
      </c>
      <c r="I10" s="10">
        <f t="shared" si="0"/>
        <v>180</v>
      </c>
      <c r="J10" s="10">
        <f t="shared" si="0"/>
        <v>97</v>
      </c>
      <c r="K10" s="10">
        <f t="shared" si="0"/>
        <v>105</v>
      </c>
      <c r="L10" s="10">
        <f t="shared" si="0"/>
        <v>101</v>
      </c>
      <c r="M10" s="10">
        <f t="shared" si="0"/>
        <v>97</v>
      </c>
      <c r="N10" s="27">
        <f t="shared" si="0"/>
        <v>1061</v>
      </c>
      <c r="O10" s="34"/>
      <c r="P10" s="37"/>
      <c r="Q10" s="40"/>
      <c r="R10" s="21"/>
    </row>
    <row r="11" spans="1:18" ht="15.75" thickBot="1">
      <c r="A11" s="44"/>
      <c r="B11" s="44"/>
      <c r="C11" s="67"/>
      <c r="D11" s="13" t="s">
        <v>14</v>
      </c>
      <c r="E11" s="14">
        <f>E10 / E9</f>
        <v>0.7</v>
      </c>
      <c r="F11" s="14">
        <f t="shared" ref="F11:M11" si="1">F10 / F9</f>
        <v>0.81333333333333335</v>
      </c>
      <c r="G11" s="14">
        <f t="shared" si="1"/>
        <v>0.56999999999999995</v>
      </c>
      <c r="H11" s="14">
        <f t="shared" si="1"/>
        <v>0.7</v>
      </c>
      <c r="I11" s="14">
        <f t="shared" si="1"/>
        <v>0.9</v>
      </c>
      <c r="J11" s="14">
        <f t="shared" si="1"/>
        <v>0.64666666666666661</v>
      </c>
      <c r="K11" s="14">
        <f t="shared" si="1"/>
        <v>0.7</v>
      </c>
      <c r="L11" s="14">
        <f t="shared" si="1"/>
        <v>0.67333333333333334</v>
      </c>
      <c r="M11" s="14">
        <f t="shared" si="1"/>
        <v>0.64666666666666661</v>
      </c>
      <c r="N11" s="49"/>
      <c r="O11" s="35"/>
      <c r="P11" s="38"/>
      <c r="Q11" s="41"/>
      <c r="R11" s="22"/>
    </row>
    <row r="12" spans="1:18" ht="15.75" thickBo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spans="1:18" ht="29.25" thickBot="1">
      <c r="A13" s="1" t="s">
        <v>0</v>
      </c>
      <c r="B13" s="2" t="s">
        <v>1</v>
      </c>
      <c r="C13" s="56" t="s">
        <v>2</v>
      </c>
      <c r="D13" s="3" t="s">
        <v>3</v>
      </c>
      <c r="E13" s="3" t="s">
        <v>4</v>
      </c>
      <c r="F13" s="3" t="s">
        <v>6</v>
      </c>
      <c r="G13" s="3" t="s">
        <v>7</v>
      </c>
      <c r="H13" s="4" t="s">
        <v>8</v>
      </c>
      <c r="I13" s="3" t="s">
        <v>9</v>
      </c>
      <c r="J13" s="3" t="s">
        <v>10</v>
      </c>
      <c r="K13" s="3" t="s">
        <v>11</v>
      </c>
      <c r="L13" s="3" t="s">
        <v>12</v>
      </c>
      <c r="M13" s="3" t="s">
        <v>5</v>
      </c>
      <c r="N13" s="3" t="s">
        <v>13</v>
      </c>
      <c r="O13" s="5" t="s">
        <v>14</v>
      </c>
      <c r="P13" s="5" t="s">
        <v>15</v>
      </c>
      <c r="Q13" s="5" t="s">
        <v>16</v>
      </c>
      <c r="R13" s="6" t="s">
        <v>17</v>
      </c>
    </row>
    <row r="14" spans="1:18" ht="15.75" customHeight="1" thickTop="1">
      <c r="A14" s="42" t="s">
        <v>82</v>
      </c>
      <c r="B14" s="42">
        <v>620</v>
      </c>
      <c r="C14" s="57" t="s">
        <v>90</v>
      </c>
      <c r="D14" s="18" t="s">
        <v>18</v>
      </c>
      <c r="E14" s="9">
        <v>75</v>
      </c>
      <c r="F14" s="9">
        <v>75</v>
      </c>
      <c r="G14" s="9">
        <v>100</v>
      </c>
      <c r="H14" s="9">
        <v>100</v>
      </c>
      <c r="I14" s="9">
        <v>100</v>
      </c>
      <c r="J14" s="9">
        <v>75</v>
      </c>
      <c r="K14" s="9">
        <v>75</v>
      </c>
      <c r="L14" s="9">
        <v>75</v>
      </c>
      <c r="M14" s="9">
        <v>75</v>
      </c>
      <c r="N14" s="9">
        <f>SUM(E14:M14)</f>
        <v>750</v>
      </c>
      <c r="O14" s="47">
        <f>N15/750</f>
        <v>0.86933333333333329</v>
      </c>
      <c r="P14" s="48" t="s">
        <v>37</v>
      </c>
      <c r="Q14" s="18"/>
      <c r="R14" s="20"/>
    </row>
    <row r="15" spans="1:18">
      <c r="A15" s="43"/>
      <c r="B15" s="43"/>
      <c r="C15" s="57"/>
      <c r="D15" s="19"/>
      <c r="E15" s="10">
        <v>66</v>
      </c>
      <c r="F15" s="10">
        <v>68</v>
      </c>
      <c r="G15" s="10">
        <v>91</v>
      </c>
      <c r="H15" s="10">
        <v>92</v>
      </c>
      <c r="I15" s="10">
        <v>87</v>
      </c>
      <c r="J15" s="10">
        <v>65</v>
      </c>
      <c r="K15" s="10">
        <v>65</v>
      </c>
      <c r="L15" s="10">
        <v>58</v>
      </c>
      <c r="M15" s="10">
        <v>60</v>
      </c>
      <c r="N15" s="10">
        <f>SUM(E15:M15)</f>
        <v>652</v>
      </c>
      <c r="O15" s="26"/>
      <c r="P15" s="28"/>
      <c r="Q15" s="19"/>
      <c r="R15" s="21"/>
    </row>
    <row r="16" spans="1:18" ht="15" customHeight="1">
      <c r="A16" s="43"/>
      <c r="B16" s="43"/>
      <c r="C16" s="57"/>
      <c r="D16" s="23" t="s">
        <v>19</v>
      </c>
      <c r="E16" s="11">
        <v>75</v>
      </c>
      <c r="F16" s="12">
        <v>75</v>
      </c>
      <c r="G16" s="12">
        <v>100</v>
      </c>
      <c r="H16" s="12">
        <v>100</v>
      </c>
      <c r="I16" s="12">
        <v>100</v>
      </c>
      <c r="J16" s="12">
        <v>75</v>
      </c>
      <c r="K16" s="12">
        <v>75</v>
      </c>
      <c r="L16" s="12">
        <v>75</v>
      </c>
      <c r="M16" s="12">
        <v>75</v>
      </c>
      <c r="N16" s="9">
        <f>SUM(E16:M16)</f>
        <v>750</v>
      </c>
      <c r="O16" s="25">
        <f>N17/750</f>
        <v>0.872</v>
      </c>
      <c r="P16" s="27" t="s">
        <v>37</v>
      </c>
      <c r="Q16" s="29" t="s">
        <v>21</v>
      </c>
      <c r="R16" s="21"/>
    </row>
    <row r="17" spans="1:18" ht="15" customHeight="1">
      <c r="A17" s="43"/>
      <c r="B17" s="43"/>
      <c r="C17" s="8" t="s">
        <v>26</v>
      </c>
      <c r="D17" s="24"/>
      <c r="E17" s="10">
        <v>68</v>
      </c>
      <c r="F17" s="10">
        <v>69</v>
      </c>
      <c r="G17" s="10">
        <v>80</v>
      </c>
      <c r="H17" s="10">
        <v>87</v>
      </c>
      <c r="I17" s="10">
        <v>93</v>
      </c>
      <c r="J17" s="10">
        <v>69</v>
      </c>
      <c r="K17" s="10">
        <v>67</v>
      </c>
      <c r="L17" s="10">
        <v>55</v>
      </c>
      <c r="M17" s="10">
        <v>66</v>
      </c>
      <c r="N17" s="10">
        <f>SUM(E17:M17)</f>
        <v>654</v>
      </c>
      <c r="O17" s="26"/>
      <c r="P17" s="28"/>
      <c r="Q17" s="30"/>
      <c r="R17" s="21"/>
    </row>
    <row r="18" spans="1:18" ht="15" customHeight="1">
      <c r="A18" s="43"/>
      <c r="B18" s="43"/>
      <c r="C18" s="57" t="s">
        <v>89</v>
      </c>
      <c r="D18" s="31" t="s">
        <v>22</v>
      </c>
      <c r="E18" s="11">
        <v>150</v>
      </c>
      <c r="F18" s="12">
        <v>150</v>
      </c>
      <c r="G18" s="12">
        <v>200</v>
      </c>
      <c r="H18" s="12">
        <v>200</v>
      </c>
      <c r="I18" s="12">
        <v>200</v>
      </c>
      <c r="J18" s="12">
        <v>150</v>
      </c>
      <c r="K18" s="12">
        <v>150</v>
      </c>
      <c r="L18" s="12">
        <v>150</v>
      </c>
      <c r="M18" s="12">
        <v>150</v>
      </c>
      <c r="N18" s="9">
        <f>SUM(E18:M18)</f>
        <v>1500</v>
      </c>
      <c r="O18" s="33">
        <f>N19/1500</f>
        <v>0.8706666666666667</v>
      </c>
      <c r="P18" s="36" t="s">
        <v>37</v>
      </c>
      <c r="Q18" s="39"/>
      <c r="R18" s="21"/>
    </row>
    <row r="19" spans="1:18">
      <c r="A19" s="43"/>
      <c r="B19" s="43"/>
      <c r="C19" s="57"/>
      <c r="D19" s="32"/>
      <c r="E19" s="10">
        <f>SUM(E17,E15)</f>
        <v>134</v>
      </c>
      <c r="F19" s="10">
        <f t="shared" ref="F19:N19" si="2">SUM(F15,F17)</f>
        <v>137</v>
      </c>
      <c r="G19" s="10">
        <f t="shared" si="2"/>
        <v>171</v>
      </c>
      <c r="H19" s="10">
        <f t="shared" si="2"/>
        <v>179</v>
      </c>
      <c r="I19" s="10">
        <f t="shared" si="2"/>
        <v>180</v>
      </c>
      <c r="J19" s="10">
        <f t="shared" si="2"/>
        <v>134</v>
      </c>
      <c r="K19" s="10">
        <f t="shared" si="2"/>
        <v>132</v>
      </c>
      <c r="L19" s="10">
        <f t="shared" si="2"/>
        <v>113</v>
      </c>
      <c r="M19" s="10">
        <f t="shared" si="2"/>
        <v>126</v>
      </c>
      <c r="N19" s="27">
        <f t="shared" si="2"/>
        <v>1306</v>
      </c>
      <c r="O19" s="34"/>
      <c r="P19" s="37"/>
      <c r="Q19" s="40"/>
      <c r="R19" s="21"/>
    </row>
    <row r="20" spans="1:18" ht="15.75" thickBot="1">
      <c r="A20" s="44"/>
      <c r="B20" s="44"/>
      <c r="C20" s="67"/>
      <c r="D20" s="13" t="s">
        <v>14</v>
      </c>
      <c r="E20" s="14">
        <f>E19 / E18</f>
        <v>0.89333333333333331</v>
      </c>
      <c r="F20" s="14">
        <f t="shared" ref="F20:M20" si="3">F19 / F18</f>
        <v>0.91333333333333333</v>
      </c>
      <c r="G20" s="14">
        <f t="shared" si="3"/>
        <v>0.85499999999999998</v>
      </c>
      <c r="H20" s="14">
        <f t="shared" si="3"/>
        <v>0.89500000000000002</v>
      </c>
      <c r="I20" s="14">
        <f t="shared" si="3"/>
        <v>0.9</v>
      </c>
      <c r="J20" s="14">
        <f t="shared" si="3"/>
        <v>0.89333333333333331</v>
      </c>
      <c r="K20" s="14">
        <f t="shared" si="3"/>
        <v>0.88</v>
      </c>
      <c r="L20" s="14">
        <f t="shared" si="3"/>
        <v>0.7533333333333333</v>
      </c>
      <c r="M20" s="14">
        <f t="shared" si="3"/>
        <v>0.84</v>
      </c>
      <c r="N20" s="49"/>
      <c r="O20" s="35"/>
      <c r="P20" s="38"/>
      <c r="Q20" s="41"/>
      <c r="R20" s="22"/>
    </row>
    <row r="21" spans="1:18" ht="15.75" thickBot="1"/>
    <row r="22" spans="1:18" ht="29.25" thickBot="1">
      <c r="A22" s="1" t="s">
        <v>0</v>
      </c>
      <c r="B22" s="2" t="s">
        <v>1</v>
      </c>
      <c r="C22" s="56" t="s">
        <v>2</v>
      </c>
      <c r="D22" s="3" t="s">
        <v>3</v>
      </c>
      <c r="E22" s="3" t="s">
        <v>4</v>
      </c>
      <c r="F22" s="3" t="s">
        <v>6</v>
      </c>
      <c r="G22" s="3" t="s">
        <v>7</v>
      </c>
      <c r="H22" s="4" t="s">
        <v>8</v>
      </c>
      <c r="I22" s="3" t="s">
        <v>9</v>
      </c>
      <c r="J22" s="3" t="s">
        <v>10</v>
      </c>
      <c r="K22" s="3" t="s">
        <v>11</v>
      </c>
      <c r="L22" s="3" t="s">
        <v>12</v>
      </c>
      <c r="M22" s="3" t="s">
        <v>5</v>
      </c>
      <c r="N22" s="3" t="s">
        <v>13</v>
      </c>
      <c r="O22" s="5" t="s">
        <v>14</v>
      </c>
      <c r="P22" s="5" t="s">
        <v>15</v>
      </c>
      <c r="Q22" s="5" t="s">
        <v>16</v>
      </c>
      <c r="R22" s="6" t="s">
        <v>17</v>
      </c>
    </row>
    <row r="23" spans="1:18" ht="15.75" customHeight="1" thickTop="1">
      <c r="A23" s="42" t="s">
        <v>83</v>
      </c>
      <c r="B23" s="42">
        <v>621</v>
      </c>
      <c r="C23" s="57" t="s">
        <v>88</v>
      </c>
      <c r="D23" s="18" t="s">
        <v>18</v>
      </c>
      <c r="E23" s="9">
        <v>75</v>
      </c>
      <c r="F23" s="9">
        <v>75</v>
      </c>
      <c r="G23" s="9">
        <v>100</v>
      </c>
      <c r="H23" s="9">
        <v>100</v>
      </c>
      <c r="I23" s="9">
        <v>100</v>
      </c>
      <c r="J23" s="9">
        <v>75</v>
      </c>
      <c r="K23" s="9">
        <v>75</v>
      </c>
      <c r="L23" s="9">
        <v>75</v>
      </c>
      <c r="M23" s="9">
        <v>75</v>
      </c>
      <c r="N23" s="9">
        <f>SUM(E23:M23)</f>
        <v>750</v>
      </c>
      <c r="O23" s="47">
        <f>N24/750</f>
        <v>0.69466666666666665</v>
      </c>
      <c r="P23" s="48" t="s">
        <v>38</v>
      </c>
      <c r="Q23" s="18"/>
      <c r="R23" s="20"/>
    </row>
    <row r="24" spans="1:18">
      <c r="A24" s="43"/>
      <c r="B24" s="43"/>
      <c r="C24" s="57"/>
      <c r="D24" s="19"/>
      <c r="E24" s="10">
        <v>53</v>
      </c>
      <c r="F24" s="10">
        <v>63</v>
      </c>
      <c r="G24" s="10">
        <v>82</v>
      </c>
      <c r="H24" s="10">
        <v>56</v>
      </c>
      <c r="I24" s="10">
        <v>76</v>
      </c>
      <c r="J24" s="10">
        <v>49</v>
      </c>
      <c r="K24" s="10">
        <v>48</v>
      </c>
      <c r="L24" s="10">
        <v>46</v>
      </c>
      <c r="M24" s="10">
        <v>48</v>
      </c>
      <c r="N24" s="10">
        <f>SUM(E24:M24)</f>
        <v>521</v>
      </c>
      <c r="O24" s="26"/>
      <c r="P24" s="28"/>
      <c r="Q24" s="19"/>
      <c r="R24" s="21"/>
    </row>
    <row r="25" spans="1:18" ht="15" customHeight="1">
      <c r="A25" s="43"/>
      <c r="B25" s="43"/>
      <c r="C25" s="57"/>
      <c r="D25" s="23" t="s">
        <v>19</v>
      </c>
      <c r="E25" s="11">
        <v>75</v>
      </c>
      <c r="F25" s="12">
        <v>75</v>
      </c>
      <c r="G25" s="12">
        <v>100</v>
      </c>
      <c r="H25" s="12">
        <v>100</v>
      </c>
      <c r="I25" s="12">
        <v>100</v>
      </c>
      <c r="J25" s="12">
        <v>75</v>
      </c>
      <c r="K25" s="12">
        <v>75</v>
      </c>
      <c r="L25" s="12">
        <v>75</v>
      </c>
      <c r="M25" s="12">
        <v>75</v>
      </c>
      <c r="N25" s="9">
        <f>SUM(E25:M25)</f>
        <v>750</v>
      </c>
      <c r="O25" s="25">
        <f>N26/750</f>
        <v>0.7466666666666667</v>
      </c>
      <c r="P25" s="27" t="s">
        <v>20</v>
      </c>
      <c r="Q25" s="29" t="s">
        <v>21</v>
      </c>
      <c r="R25" s="21"/>
    </row>
    <row r="26" spans="1:18" ht="15" customHeight="1">
      <c r="A26" s="43"/>
      <c r="B26" s="43"/>
      <c r="C26" s="8" t="s">
        <v>26</v>
      </c>
      <c r="D26" s="24"/>
      <c r="E26" s="10">
        <v>55</v>
      </c>
      <c r="F26" s="10">
        <v>54</v>
      </c>
      <c r="G26" s="10">
        <v>84</v>
      </c>
      <c r="H26" s="10">
        <v>69</v>
      </c>
      <c r="I26" s="10">
        <v>79</v>
      </c>
      <c r="J26" s="10">
        <v>58</v>
      </c>
      <c r="K26" s="10">
        <v>59</v>
      </c>
      <c r="L26" s="10">
        <v>50</v>
      </c>
      <c r="M26" s="10">
        <v>52</v>
      </c>
      <c r="N26" s="10">
        <f>SUM(E26:M26)</f>
        <v>560</v>
      </c>
      <c r="O26" s="26"/>
      <c r="P26" s="28"/>
      <c r="Q26" s="30"/>
      <c r="R26" s="21"/>
    </row>
    <row r="27" spans="1:18" ht="15" customHeight="1">
      <c r="A27" s="43"/>
      <c r="B27" s="43"/>
      <c r="C27" s="57" t="s">
        <v>87</v>
      </c>
      <c r="D27" s="31" t="s">
        <v>22</v>
      </c>
      <c r="E27" s="11">
        <v>150</v>
      </c>
      <c r="F27" s="12">
        <v>150</v>
      </c>
      <c r="G27" s="12">
        <v>200</v>
      </c>
      <c r="H27" s="12">
        <v>200</v>
      </c>
      <c r="I27" s="12">
        <v>200</v>
      </c>
      <c r="J27" s="12">
        <v>150</v>
      </c>
      <c r="K27" s="12">
        <v>150</v>
      </c>
      <c r="L27" s="12">
        <v>150</v>
      </c>
      <c r="M27" s="12">
        <v>150</v>
      </c>
      <c r="N27" s="9">
        <f>SUM(E27:M27)</f>
        <v>1500</v>
      </c>
      <c r="O27" s="33">
        <f>N28/1500</f>
        <v>0.72066666666666668</v>
      </c>
      <c r="P27" s="36" t="s">
        <v>20</v>
      </c>
      <c r="Q27" s="39"/>
      <c r="R27" s="21"/>
    </row>
    <row r="28" spans="1:18">
      <c r="A28" s="43"/>
      <c r="B28" s="43"/>
      <c r="C28" s="57"/>
      <c r="D28" s="32"/>
      <c r="E28" s="10">
        <f>SUM(E26,E24)</f>
        <v>108</v>
      </c>
      <c r="F28" s="10">
        <f t="shared" ref="F28:N28" si="4">SUM(F24,F26)</f>
        <v>117</v>
      </c>
      <c r="G28" s="10">
        <f t="shared" si="4"/>
        <v>166</v>
      </c>
      <c r="H28" s="10">
        <f t="shared" si="4"/>
        <v>125</v>
      </c>
      <c r="I28" s="10">
        <f t="shared" si="4"/>
        <v>155</v>
      </c>
      <c r="J28" s="10">
        <f t="shared" si="4"/>
        <v>107</v>
      </c>
      <c r="K28" s="10">
        <f t="shared" si="4"/>
        <v>107</v>
      </c>
      <c r="L28" s="10">
        <f t="shared" si="4"/>
        <v>96</v>
      </c>
      <c r="M28" s="10">
        <f t="shared" si="4"/>
        <v>100</v>
      </c>
      <c r="N28" s="27">
        <f t="shared" si="4"/>
        <v>1081</v>
      </c>
      <c r="O28" s="34"/>
      <c r="P28" s="37"/>
      <c r="Q28" s="40"/>
      <c r="R28" s="21"/>
    </row>
    <row r="29" spans="1:18" ht="15.75" thickBot="1">
      <c r="A29" s="44"/>
      <c r="B29" s="44"/>
      <c r="C29" s="67"/>
      <c r="D29" s="13" t="s">
        <v>14</v>
      </c>
      <c r="E29" s="14">
        <f>E28 / E27</f>
        <v>0.72</v>
      </c>
      <c r="F29" s="14">
        <f t="shared" ref="F29:M29" si="5">F28 / F27</f>
        <v>0.78</v>
      </c>
      <c r="G29" s="14">
        <f t="shared" si="5"/>
        <v>0.83</v>
      </c>
      <c r="H29" s="14">
        <f t="shared" si="5"/>
        <v>0.625</v>
      </c>
      <c r="I29" s="14">
        <f t="shared" si="5"/>
        <v>0.77500000000000002</v>
      </c>
      <c r="J29" s="14">
        <f t="shared" si="5"/>
        <v>0.71333333333333337</v>
      </c>
      <c r="K29" s="14">
        <f t="shared" si="5"/>
        <v>0.71333333333333337</v>
      </c>
      <c r="L29" s="14">
        <f t="shared" si="5"/>
        <v>0.64</v>
      </c>
      <c r="M29" s="14">
        <f t="shared" si="5"/>
        <v>0.66666666666666663</v>
      </c>
      <c r="N29" s="49"/>
      <c r="O29" s="35"/>
      <c r="P29" s="38"/>
      <c r="Q29" s="41"/>
      <c r="R29" s="22"/>
    </row>
    <row r="30" spans="1:18">
      <c r="K30" s="17"/>
      <c r="L30" s="17"/>
      <c r="M30" s="16"/>
    </row>
  </sheetData>
  <mergeCells count="55">
    <mergeCell ref="A1:R3"/>
    <mergeCell ref="A5:A11"/>
    <mergeCell ref="B5:B11"/>
    <mergeCell ref="D5:D6"/>
    <mergeCell ref="O5:O6"/>
    <mergeCell ref="P5:P6"/>
    <mergeCell ref="Q5:Q6"/>
    <mergeCell ref="R5:R11"/>
    <mergeCell ref="D7:D8"/>
    <mergeCell ref="C9:C11"/>
    <mergeCell ref="C5:C7"/>
    <mergeCell ref="O7:O8"/>
    <mergeCell ref="P7:P8"/>
    <mergeCell ref="Q7:Q8"/>
    <mergeCell ref="D9:D10"/>
    <mergeCell ref="O9:O11"/>
    <mergeCell ref="P9:P11"/>
    <mergeCell ref="Q9:Q11"/>
    <mergeCell ref="N10:N11"/>
    <mergeCell ref="A14:A20"/>
    <mergeCell ref="B14:B20"/>
    <mergeCell ref="D14:D15"/>
    <mergeCell ref="O14:O15"/>
    <mergeCell ref="N19:N20"/>
    <mergeCell ref="C18:C20"/>
    <mergeCell ref="C14:C16"/>
    <mergeCell ref="Q14:Q15"/>
    <mergeCell ref="R14:R20"/>
    <mergeCell ref="D16:D17"/>
    <mergeCell ref="O16:O17"/>
    <mergeCell ref="P16:P17"/>
    <mergeCell ref="Q16:Q17"/>
    <mergeCell ref="D18:D19"/>
    <mergeCell ref="O18:O20"/>
    <mergeCell ref="P18:P20"/>
    <mergeCell ref="Q18:Q20"/>
    <mergeCell ref="P14:P15"/>
    <mergeCell ref="A23:A29"/>
    <mergeCell ref="B23:B29"/>
    <mergeCell ref="D23:D24"/>
    <mergeCell ref="O23:O24"/>
    <mergeCell ref="N28:N29"/>
    <mergeCell ref="C27:C29"/>
    <mergeCell ref="C23:C25"/>
    <mergeCell ref="Q23:Q24"/>
    <mergeCell ref="R23:R29"/>
    <mergeCell ref="D25:D26"/>
    <mergeCell ref="O25:O26"/>
    <mergeCell ref="P25:P26"/>
    <mergeCell ref="Q25:Q26"/>
    <mergeCell ref="D27:D28"/>
    <mergeCell ref="O27:O29"/>
    <mergeCell ref="P27:P29"/>
    <mergeCell ref="Q27:Q29"/>
    <mergeCell ref="P23:P24"/>
  </mergeCells>
  <pageMargins left="0.25" right="0.25" top="0.75" bottom="0.75" header="0.3" footer="0.3"/>
  <pageSetup scale="9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0"/>
  <sheetViews>
    <sheetView view="pageBreakPreview" zoomScale="115" zoomScaleNormal="100" zoomScaleSheetLayoutView="115" workbookViewId="0">
      <selection activeCell="P21" sqref="P21"/>
    </sheetView>
  </sheetViews>
  <sheetFormatPr defaultRowHeight="15"/>
  <cols>
    <col min="1" max="1" width="4.140625" customWidth="1"/>
    <col min="2" max="2" width="5.85546875" customWidth="1"/>
    <col min="3" max="3" width="16.140625" customWidth="1"/>
    <col min="5" max="5" width="6.85546875" customWidth="1"/>
    <col min="6" max="6" width="6.42578125" customWidth="1"/>
    <col min="7" max="7" width="6" customWidth="1"/>
    <col min="8" max="8" width="7" customWidth="1"/>
    <col min="9" max="9" width="7.28515625" customWidth="1"/>
    <col min="10" max="10" width="8.42578125" customWidth="1"/>
    <col min="11" max="11" width="5.5703125" customWidth="1"/>
    <col min="12" max="12" width="7.85546875" customWidth="1"/>
    <col min="13" max="13" width="5.42578125" customWidth="1"/>
    <col min="14" max="14" width="7.42578125" customWidth="1"/>
    <col min="15" max="15" width="6" customWidth="1"/>
    <col min="16" max="16" width="6.28515625" customWidth="1"/>
    <col min="17" max="17" width="8" customWidth="1"/>
    <col min="18" max="18" width="10.7109375" customWidth="1"/>
  </cols>
  <sheetData>
    <row r="1" spans="1:18" ht="15" customHeight="1">
      <c r="A1" s="50" t="s">
        <v>23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</row>
    <row r="3" spans="1:18" ht="26.45" customHeight="1" thickBot="1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8" ht="29.25" thickBot="1">
      <c r="A4" s="1" t="s">
        <v>0</v>
      </c>
      <c r="B4" s="2" t="s">
        <v>1</v>
      </c>
      <c r="C4" s="56" t="s">
        <v>2</v>
      </c>
      <c r="D4" s="3" t="s">
        <v>3</v>
      </c>
      <c r="E4" s="3" t="s">
        <v>4</v>
      </c>
      <c r="F4" s="3" t="s">
        <v>6</v>
      </c>
      <c r="G4" s="3" t="s">
        <v>7</v>
      </c>
      <c r="H4" s="4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5</v>
      </c>
      <c r="N4" s="3" t="s">
        <v>13</v>
      </c>
      <c r="O4" s="5" t="s">
        <v>14</v>
      </c>
      <c r="P4" s="5" t="s">
        <v>15</v>
      </c>
      <c r="Q4" s="5" t="s">
        <v>16</v>
      </c>
      <c r="R4" s="6" t="s">
        <v>17</v>
      </c>
    </row>
    <row r="5" spans="1:18" ht="15.75" customHeight="1" thickTop="1">
      <c r="A5" s="42" t="s">
        <v>84</v>
      </c>
      <c r="B5" s="42">
        <v>622</v>
      </c>
      <c r="C5" s="57" t="s">
        <v>86</v>
      </c>
      <c r="D5" s="18" t="s">
        <v>18</v>
      </c>
      <c r="E5" s="9">
        <v>75</v>
      </c>
      <c r="F5" s="9">
        <v>75</v>
      </c>
      <c r="G5" s="9">
        <v>100</v>
      </c>
      <c r="H5" s="9">
        <v>100</v>
      </c>
      <c r="I5" s="9">
        <v>100</v>
      </c>
      <c r="J5" s="9">
        <v>75</v>
      </c>
      <c r="K5" s="9">
        <v>75</v>
      </c>
      <c r="L5" s="9">
        <v>75</v>
      </c>
      <c r="M5" s="9">
        <v>75</v>
      </c>
      <c r="N5" s="9">
        <f>SUM(E5:M5)</f>
        <v>750</v>
      </c>
      <c r="O5" s="47">
        <f>N6/750</f>
        <v>0.8</v>
      </c>
      <c r="P5" s="48" t="s">
        <v>37</v>
      </c>
      <c r="Q5" s="18"/>
      <c r="R5" s="20"/>
    </row>
    <row r="6" spans="1:18">
      <c r="A6" s="43"/>
      <c r="B6" s="43"/>
      <c r="C6" s="57"/>
      <c r="D6" s="19"/>
      <c r="E6" s="10">
        <v>43</v>
      </c>
      <c r="F6" s="10">
        <v>69</v>
      </c>
      <c r="G6" s="10">
        <v>85</v>
      </c>
      <c r="H6" s="10">
        <v>80</v>
      </c>
      <c r="I6" s="10">
        <v>85</v>
      </c>
      <c r="J6" s="10">
        <v>59</v>
      </c>
      <c r="K6" s="10">
        <v>71</v>
      </c>
      <c r="L6" s="10">
        <v>62</v>
      </c>
      <c r="M6" s="10">
        <v>46</v>
      </c>
      <c r="N6" s="10">
        <f>SUM(E6:M6)</f>
        <v>600</v>
      </c>
      <c r="O6" s="26"/>
      <c r="P6" s="28"/>
      <c r="Q6" s="19"/>
      <c r="R6" s="21"/>
    </row>
    <row r="7" spans="1:18" ht="15" customHeight="1">
      <c r="A7" s="43"/>
      <c r="B7" s="43"/>
      <c r="C7" s="57"/>
      <c r="D7" s="23" t="s">
        <v>19</v>
      </c>
      <c r="E7" s="11">
        <v>75</v>
      </c>
      <c r="F7" s="12">
        <v>75</v>
      </c>
      <c r="G7" s="12">
        <v>100</v>
      </c>
      <c r="H7" s="12">
        <v>100</v>
      </c>
      <c r="I7" s="12">
        <v>100</v>
      </c>
      <c r="J7" s="12">
        <v>75</v>
      </c>
      <c r="K7" s="12">
        <v>75</v>
      </c>
      <c r="L7" s="12">
        <v>75</v>
      </c>
      <c r="M7" s="12">
        <v>75</v>
      </c>
      <c r="N7" s="9">
        <f>SUM(E7:M7)</f>
        <v>750</v>
      </c>
      <c r="O7" s="25">
        <f>N8/750</f>
        <v>0.86133333333333328</v>
      </c>
      <c r="P7" s="27" t="s">
        <v>37</v>
      </c>
      <c r="Q7" s="29" t="s">
        <v>21</v>
      </c>
      <c r="R7" s="21"/>
    </row>
    <row r="8" spans="1:18" ht="15" customHeight="1">
      <c r="A8" s="43"/>
      <c r="B8" s="43"/>
      <c r="C8" s="8" t="s">
        <v>26</v>
      </c>
      <c r="D8" s="24"/>
      <c r="E8" s="10">
        <v>56</v>
      </c>
      <c r="F8" s="10">
        <v>68</v>
      </c>
      <c r="G8" s="10">
        <v>96</v>
      </c>
      <c r="H8" s="10">
        <v>90</v>
      </c>
      <c r="I8" s="10">
        <v>85</v>
      </c>
      <c r="J8" s="10">
        <v>61</v>
      </c>
      <c r="K8" s="10">
        <v>71</v>
      </c>
      <c r="L8" s="10">
        <v>61</v>
      </c>
      <c r="M8" s="10">
        <v>58</v>
      </c>
      <c r="N8" s="10">
        <f>SUM(E8:M8)</f>
        <v>646</v>
      </c>
      <c r="O8" s="26"/>
      <c r="P8" s="28"/>
      <c r="Q8" s="30"/>
      <c r="R8" s="21"/>
    </row>
    <row r="9" spans="1:18" ht="15" customHeight="1">
      <c r="A9" s="43"/>
      <c r="B9" s="43"/>
      <c r="C9" s="57" t="s">
        <v>85</v>
      </c>
      <c r="D9" s="31" t="s">
        <v>22</v>
      </c>
      <c r="E9" s="11">
        <v>150</v>
      </c>
      <c r="F9" s="12">
        <v>150</v>
      </c>
      <c r="G9" s="12">
        <v>200</v>
      </c>
      <c r="H9" s="12">
        <v>200</v>
      </c>
      <c r="I9" s="12">
        <v>200</v>
      </c>
      <c r="J9" s="12">
        <v>150</v>
      </c>
      <c r="K9" s="12">
        <v>150</v>
      </c>
      <c r="L9" s="12">
        <v>150</v>
      </c>
      <c r="M9" s="12">
        <v>150</v>
      </c>
      <c r="N9" s="9">
        <f>SUM(E9:M9)</f>
        <v>1500</v>
      </c>
      <c r="O9" s="33">
        <f>N10/1500</f>
        <v>0.83066666666666666</v>
      </c>
      <c r="P9" s="36" t="s">
        <v>37</v>
      </c>
      <c r="Q9" s="39"/>
      <c r="R9" s="21"/>
    </row>
    <row r="10" spans="1:18">
      <c r="A10" s="43"/>
      <c r="B10" s="43"/>
      <c r="C10" s="57"/>
      <c r="D10" s="32"/>
      <c r="E10" s="10">
        <f>SUM(E8,E6)</f>
        <v>99</v>
      </c>
      <c r="F10" s="10">
        <f t="shared" ref="F10:N10" si="0">SUM(F6,F8)</f>
        <v>137</v>
      </c>
      <c r="G10" s="10">
        <f t="shared" si="0"/>
        <v>181</v>
      </c>
      <c r="H10" s="10">
        <f t="shared" si="0"/>
        <v>170</v>
      </c>
      <c r="I10" s="10">
        <f t="shared" si="0"/>
        <v>170</v>
      </c>
      <c r="J10" s="10">
        <f t="shared" si="0"/>
        <v>120</v>
      </c>
      <c r="K10" s="10">
        <f t="shared" si="0"/>
        <v>142</v>
      </c>
      <c r="L10" s="10">
        <f t="shared" si="0"/>
        <v>123</v>
      </c>
      <c r="M10" s="10">
        <f t="shared" si="0"/>
        <v>104</v>
      </c>
      <c r="N10" s="27">
        <f t="shared" si="0"/>
        <v>1246</v>
      </c>
      <c r="O10" s="34"/>
      <c r="P10" s="37"/>
      <c r="Q10" s="40"/>
      <c r="R10" s="21"/>
    </row>
    <row r="11" spans="1:18" ht="15.75" thickBot="1">
      <c r="A11" s="44"/>
      <c r="B11" s="44"/>
      <c r="C11" s="67"/>
      <c r="D11" s="13" t="s">
        <v>14</v>
      </c>
      <c r="E11" s="14">
        <f>E10 / E9</f>
        <v>0.66</v>
      </c>
      <c r="F11" s="14">
        <f t="shared" ref="F11:M11" si="1">F10 / F9</f>
        <v>0.91333333333333333</v>
      </c>
      <c r="G11" s="14">
        <f t="shared" si="1"/>
        <v>0.90500000000000003</v>
      </c>
      <c r="H11" s="14">
        <f t="shared" si="1"/>
        <v>0.85</v>
      </c>
      <c r="I11" s="14">
        <f t="shared" si="1"/>
        <v>0.85</v>
      </c>
      <c r="J11" s="14">
        <f t="shared" si="1"/>
        <v>0.8</v>
      </c>
      <c r="K11" s="14">
        <f t="shared" si="1"/>
        <v>0.94666666666666666</v>
      </c>
      <c r="L11" s="14">
        <f t="shared" si="1"/>
        <v>0.82</v>
      </c>
      <c r="M11" s="14">
        <f t="shared" si="1"/>
        <v>0.69333333333333336</v>
      </c>
      <c r="N11" s="49"/>
      <c r="O11" s="35"/>
      <c r="P11" s="38"/>
      <c r="Q11" s="41"/>
      <c r="R11" s="22"/>
    </row>
    <row r="12" spans="1:18" ht="15.75" thickBo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spans="1:18" ht="29.25" thickBot="1">
      <c r="A13" s="1" t="s">
        <v>0</v>
      </c>
      <c r="B13" s="2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4" t="s">
        <v>8</v>
      </c>
      <c r="J13" s="3" t="s">
        <v>9</v>
      </c>
      <c r="K13" s="3" t="s">
        <v>10</v>
      </c>
      <c r="L13" s="3" t="s">
        <v>11</v>
      </c>
      <c r="M13" s="3" t="s">
        <v>12</v>
      </c>
      <c r="N13" s="3" t="s">
        <v>13</v>
      </c>
      <c r="O13" s="5" t="s">
        <v>14</v>
      </c>
      <c r="P13" s="5" t="s">
        <v>15</v>
      </c>
      <c r="Q13" s="5" t="s">
        <v>16</v>
      </c>
      <c r="R13" s="6" t="s">
        <v>17</v>
      </c>
    </row>
    <row r="14" spans="1:18" ht="15.75" thickTop="1">
      <c r="A14" s="42" t="s">
        <v>91</v>
      </c>
      <c r="B14" s="42">
        <v>623</v>
      </c>
      <c r="C14" s="57" t="s">
        <v>92</v>
      </c>
      <c r="D14" s="18" t="s">
        <v>18</v>
      </c>
      <c r="E14" s="9">
        <v>75</v>
      </c>
      <c r="F14" s="9">
        <v>75</v>
      </c>
      <c r="G14" s="9">
        <v>100</v>
      </c>
      <c r="H14" s="9">
        <v>100</v>
      </c>
      <c r="I14" s="9">
        <v>100</v>
      </c>
      <c r="J14" s="9">
        <v>75</v>
      </c>
      <c r="K14" s="9">
        <v>75</v>
      </c>
      <c r="L14" s="9">
        <v>75</v>
      </c>
      <c r="M14" s="9">
        <v>75</v>
      </c>
      <c r="N14" s="9">
        <f>SUM(E14:M14)</f>
        <v>750</v>
      </c>
      <c r="O14" s="47">
        <f>N15/750</f>
        <v>0.74</v>
      </c>
      <c r="P14" s="48" t="s">
        <v>20</v>
      </c>
      <c r="Q14" s="18"/>
      <c r="R14" s="20"/>
    </row>
    <row r="15" spans="1:18">
      <c r="A15" s="43"/>
      <c r="B15" s="43"/>
      <c r="C15" s="57"/>
      <c r="D15" s="19"/>
      <c r="E15" s="10" t="s">
        <v>20</v>
      </c>
      <c r="F15" s="10">
        <v>74</v>
      </c>
      <c r="G15" s="10">
        <v>99</v>
      </c>
      <c r="H15" s="10">
        <v>92</v>
      </c>
      <c r="I15" s="10">
        <v>84</v>
      </c>
      <c r="J15" s="10">
        <v>69</v>
      </c>
      <c r="K15" s="10">
        <v>73</v>
      </c>
      <c r="L15" s="10" t="s">
        <v>20</v>
      </c>
      <c r="M15" s="10">
        <v>64</v>
      </c>
      <c r="N15" s="10">
        <f>SUM(E15:M15)</f>
        <v>555</v>
      </c>
      <c r="O15" s="26"/>
      <c r="P15" s="28"/>
      <c r="Q15" s="19"/>
      <c r="R15" s="21"/>
    </row>
    <row r="16" spans="1:18" ht="15" customHeight="1">
      <c r="A16" s="43"/>
      <c r="B16" s="43"/>
      <c r="C16" s="57"/>
      <c r="D16" s="23" t="s">
        <v>19</v>
      </c>
      <c r="E16" s="11">
        <v>75</v>
      </c>
      <c r="F16" s="12">
        <v>75</v>
      </c>
      <c r="G16" s="12">
        <v>100</v>
      </c>
      <c r="H16" s="12">
        <v>100</v>
      </c>
      <c r="I16" s="12">
        <v>100</v>
      </c>
      <c r="J16" s="12">
        <v>75</v>
      </c>
      <c r="K16" s="12">
        <v>75</v>
      </c>
      <c r="L16" s="12">
        <v>75</v>
      </c>
      <c r="M16" s="12">
        <v>75</v>
      </c>
      <c r="N16" s="9">
        <f>SUM(E16:M16)</f>
        <v>750</v>
      </c>
      <c r="O16" s="25">
        <f>N17/750</f>
        <v>0.93333333333333335</v>
      </c>
      <c r="P16" s="27" t="s">
        <v>97</v>
      </c>
      <c r="Q16" s="29" t="s">
        <v>21</v>
      </c>
      <c r="R16" s="21"/>
    </row>
    <row r="17" spans="1:18" ht="15" customHeight="1">
      <c r="A17" s="43"/>
      <c r="B17" s="43"/>
      <c r="C17" s="8" t="s">
        <v>26</v>
      </c>
      <c r="D17" s="24"/>
      <c r="E17" s="10">
        <v>68</v>
      </c>
      <c r="F17" s="10">
        <v>72</v>
      </c>
      <c r="G17" s="10">
        <v>96</v>
      </c>
      <c r="H17" s="10">
        <v>89</v>
      </c>
      <c r="I17" s="10">
        <v>89</v>
      </c>
      <c r="J17" s="10">
        <v>73</v>
      </c>
      <c r="K17" s="10">
        <v>74</v>
      </c>
      <c r="L17" s="10">
        <v>69</v>
      </c>
      <c r="M17" s="10">
        <v>70</v>
      </c>
      <c r="N17" s="10">
        <f>SUM(E17:M17)</f>
        <v>700</v>
      </c>
      <c r="O17" s="26"/>
      <c r="P17" s="28"/>
      <c r="Q17" s="30"/>
      <c r="R17" s="21"/>
    </row>
    <row r="18" spans="1:18" ht="15" customHeight="1">
      <c r="A18" s="43"/>
      <c r="B18" s="43"/>
      <c r="C18" s="57" t="s">
        <v>93</v>
      </c>
      <c r="D18" s="31" t="s">
        <v>22</v>
      </c>
      <c r="E18" s="11">
        <v>150</v>
      </c>
      <c r="F18" s="12">
        <v>150</v>
      </c>
      <c r="G18" s="12">
        <v>200</v>
      </c>
      <c r="H18" s="12">
        <v>200</v>
      </c>
      <c r="I18" s="12">
        <v>200</v>
      </c>
      <c r="J18" s="12">
        <v>150</v>
      </c>
      <c r="K18" s="12">
        <v>150</v>
      </c>
      <c r="L18" s="12">
        <v>150</v>
      </c>
      <c r="M18" s="12">
        <v>150</v>
      </c>
      <c r="N18" s="9">
        <f>SUM(E18:M18)</f>
        <v>1500</v>
      </c>
      <c r="O18" s="33">
        <f>N19/1500</f>
        <v>0.83666666666666667</v>
      </c>
      <c r="P18" s="36" t="s">
        <v>37</v>
      </c>
      <c r="Q18" s="39"/>
      <c r="R18" s="21"/>
    </row>
    <row r="19" spans="1:18">
      <c r="A19" s="43"/>
      <c r="B19" s="43"/>
      <c r="C19" s="57"/>
      <c r="D19" s="32"/>
      <c r="E19" s="10">
        <f>SUM(E17,E15)</f>
        <v>68</v>
      </c>
      <c r="F19" s="10">
        <f t="shared" ref="F19:N19" si="2">SUM(F15,F17)</f>
        <v>146</v>
      </c>
      <c r="G19" s="10">
        <f t="shared" si="2"/>
        <v>195</v>
      </c>
      <c r="H19" s="10">
        <f t="shared" si="2"/>
        <v>181</v>
      </c>
      <c r="I19" s="10">
        <f t="shared" si="2"/>
        <v>173</v>
      </c>
      <c r="J19" s="10">
        <f t="shared" si="2"/>
        <v>142</v>
      </c>
      <c r="K19" s="10">
        <f t="shared" si="2"/>
        <v>147</v>
      </c>
      <c r="L19" s="10">
        <f t="shared" si="2"/>
        <v>69</v>
      </c>
      <c r="M19" s="10">
        <f t="shared" si="2"/>
        <v>134</v>
      </c>
      <c r="N19" s="27">
        <f t="shared" si="2"/>
        <v>1255</v>
      </c>
      <c r="O19" s="34"/>
      <c r="P19" s="37"/>
      <c r="Q19" s="40"/>
      <c r="R19" s="21"/>
    </row>
    <row r="20" spans="1:18" ht="15.75" thickBot="1">
      <c r="A20" s="44"/>
      <c r="B20" s="44"/>
      <c r="C20" s="67"/>
      <c r="D20" s="13" t="s">
        <v>14</v>
      </c>
      <c r="E20" s="14">
        <f>E19 / E18</f>
        <v>0.45333333333333331</v>
      </c>
      <c r="F20" s="14">
        <f t="shared" ref="F20:M20" si="3">F19 / F18</f>
        <v>0.97333333333333338</v>
      </c>
      <c r="G20" s="14">
        <f t="shared" si="3"/>
        <v>0.97499999999999998</v>
      </c>
      <c r="H20" s="14">
        <f t="shared" si="3"/>
        <v>0.90500000000000003</v>
      </c>
      <c r="I20" s="14">
        <f t="shared" si="3"/>
        <v>0.86499999999999999</v>
      </c>
      <c r="J20" s="14">
        <f t="shared" si="3"/>
        <v>0.94666666666666666</v>
      </c>
      <c r="K20" s="14">
        <f t="shared" si="3"/>
        <v>0.98</v>
      </c>
      <c r="L20" s="14">
        <f t="shared" si="3"/>
        <v>0.46</v>
      </c>
      <c r="M20" s="14">
        <f t="shared" si="3"/>
        <v>0.89333333333333331</v>
      </c>
      <c r="N20" s="49"/>
      <c r="O20" s="35"/>
      <c r="P20" s="38"/>
      <c r="Q20" s="41"/>
      <c r="R20" s="22"/>
    </row>
    <row r="21" spans="1:18" ht="15.75" thickBot="1"/>
    <row r="22" spans="1:18" ht="29.25" thickBot="1">
      <c r="A22" s="1" t="s">
        <v>0</v>
      </c>
      <c r="B22" s="2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4" t="s">
        <v>8</v>
      </c>
      <c r="J22" s="3" t="s">
        <v>9</v>
      </c>
      <c r="K22" s="3" t="s">
        <v>10</v>
      </c>
      <c r="L22" s="3" t="s">
        <v>11</v>
      </c>
      <c r="M22" s="3" t="s">
        <v>12</v>
      </c>
      <c r="N22" s="3" t="s">
        <v>13</v>
      </c>
      <c r="O22" s="5" t="s">
        <v>14</v>
      </c>
      <c r="P22" s="5" t="s">
        <v>15</v>
      </c>
      <c r="Q22" s="5" t="s">
        <v>16</v>
      </c>
      <c r="R22" s="6" t="s">
        <v>17</v>
      </c>
    </row>
    <row r="23" spans="1:18" ht="15.75" thickTop="1">
      <c r="A23" s="42"/>
      <c r="B23" s="42"/>
      <c r="C23" s="57"/>
      <c r="D23" s="18" t="s">
        <v>18</v>
      </c>
      <c r="E23" s="9">
        <v>75</v>
      </c>
      <c r="F23" s="9">
        <v>75</v>
      </c>
      <c r="G23" s="9">
        <v>100</v>
      </c>
      <c r="H23" s="9">
        <v>100</v>
      </c>
      <c r="I23" s="9">
        <v>100</v>
      </c>
      <c r="J23" s="9">
        <v>75</v>
      </c>
      <c r="K23" s="9">
        <v>75</v>
      </c>
      <c r="L23" s="9">
        <v>75</v>
      </c>
      <c r="M23" s="9">
        <v>75</v>
      </c>
      <c r="N23" s="9">
        <f>SUM(E23:M23)</f>
        <v>750</v>
      </c>
      <c r="O23" s="47"/>
      <c r="P23" s="48"/>
      <c r="Q23" s="18"/>
      <c r="R23" s="20"/>
    </row>
    <row r="24" spans="1:18">
      <c r="A24" s="43"/>
      <c r="B24" s="43"/>
      <c r="C24" s="57"/>
      <c r="D24" s="19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26"/>
      <c r="P24" s="28"/>
      <c r="Q24" s="19"/>
      <c r="R24" s="21"/>
    </row>
    <row r="25" spans="1:18" ht="15" customHeight="1">
      <c r="A25" s="43"/>
      <c r="B25" s="43"/>
      <c r="C25" s="57"/>
      <c r="D25" s="23" t="s">
        <v>19</v>
      </c>
      <c r="E25" s="11">
        <v>75</v>
      </c>
      <c r="F25" s="12">
        <v>75</v>
      </c>
      <c r="G25" s="12">
        <v>100</v>
      </c>
      <c r="H25" s="12">
        <v>100</v>
      </c>
      <c r="I25" s="12">
        <v>100</v>
      </c>
      <c r="J25" s="12">
        <v>75</v>
      </c>
      <c r="K25" s="12">
        <v>75</v>
      </c>
      <c r="L25" s="12">
        <v>75</v>
      </c>
      <c r="M25" s="12">
        <v>75</v>
      </c>
      <c r="N25" s="9">
        <f>SUM(E25:M25)</f>
        <v>750</v>
      </c>
      <c r="O25" s="25"/>
      <c r="P25" s="27"/>
      <c r="Q25" s="29" t="s">
        <v>21</v>
      </c>
      <c r="R25" s="21"/>
    </row>
    <row r="26" spans="1:18" ht="15" customHeight="1">
      <c r="A26" s="43"/>
      <c r="B26" s="43"/>
      <c r="C26" s="8"/>
      <c r="D26" s="24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26"/>
      <c r="P26" s="28"/>
      <c r="Q26" s="30"/>
      <c r="R26" s="21"/>
    </row>
    <row r="27" spans="1:18" ht="15" customHeight="1">
      <c r="A27" s="43"/>
      <c r="B27" s="43"/>
      <c r="C27" s="57"/>
      <c r="D27" s="31" t="s">
        <v>22</v>
      </c>
      <c r="E27" s="11">
        <v>150</v>
      </c>
      <c r="F27" s="12">
        <v>150</v>
      </c>
      <c r="G27" s="12">
        <v>200</v>
      </c>
      <c r="H27" s="12">
        <v>200</v>
      </c>
      <c r="I27" s="12">
        <v>200</v>
      </c>
      <c r="J27" s="12">
        <v>150</v>
      </c>
      <c r="K27" s="12">
        <v>150</v>
      </c>
      <c r="L27" s="12">
        <v>150</v>
      </c>
      <c r="M27" s="12">
        <v>150</v>
      </c>
      <c r="N27" s="9">
        <f>SUM(E27:M27)</f>
        <v>1500</v>
      </c>
      <c r="O27" s="33"/>
      <c r="P27" s="36"/>
      <c r="Q27" s="39"/>
      <c r="R27" s="21"/>
    </row>
    <row r="28" spans="1:18">
      <c r="A28" s="43"/>
      <c r="B28" s="43"/>
      <c r="C28" s="57"/>
      <c r="D28" s="32"/>
      <c r="E28" s="10">
        <f>SUM(E26,E24)</f>
        <v>0</v>
      </c>
      <c r="F28" s="10">
        <f t="shared" ref="F28:N28" si="4">SUM(F24,F26)</f>
        <v>0</v>
      </c>
      <c r="G28" s="10">
        <f t="shared" si="4"/>
        <v>0</v>
      </c>
      <c r="H28" s="10">
        <f t="shared" si="4"/>
        <v>0</v>
      </c>
      <c r="I28" s="10">
        <f t="shared" si="4"/>
        <v>0</v>
      </c>
      <c r="J28" s="10">
        <f t="shared" si="4"/>
        <v>0</v>
      </c>
      <c r="K28" s="10">
        <f t="shared" si="4"/>
        <v>0</v>
      </c>
      <c r="L28" s="10">
        <f t="shared" si="4"/>
        <v>0</v>
      </c>
      <c r="M28" s="10">
        <f t="shared" si="4"/>
        <v>0</v>
      </c>
      <c r="N28" s="27">
        <f t="shared" si="4"/>
        <v>0</v>
      </c>
      <c r="O28" s="34"/>
      <c r="P28" s="37"/>
      <c r="Q28" s="40"/>
      <c r="R28" s="21"/>
    </row>
    <row r="29" spans="1:18" ht="15.75" thickBot="1">
      <c r="A29" s="44"/>
      <c r="B29" s="44"/>
      <c r="C29" s="67"/>
      <c r="D29" s="13" t="s">
        <v>14</v>
      </c>
      <c r="E29" s="14">
        <f>E28 / E27</f>
        <v>0</v>
      </c>
      <c r="F29" s="14">
        <f t="shared" ref="F29:M29" si="5">F28 / F27</f>
        <v>0</v>
      </c>
      <c r="G29" s="14">
        <f t="shared" si="5"/>
        <v>0</v>
      </c>
      <c r="H29" s="14">
        <f t="shared" si="5"/>
        <v>0</v>
      </c>
      <c r="I29" s="14">
        <f t="shared" si="5"/>
        <v>0</v>
      </c>
      <c r="J29" s="14">
        <f t="shared" si="5"/>
        <v>0</v>
      </c>
      <c r="K29" s="14">
        <f t="shared" si="5"/>
        <v>0</v>
      </c>
      <c r="L29" s="14">
        <f t="shared" si="5"/>
        <v>0</v>
      </c>
      <c r="M29" s="14">
        <f t="shared" si="5"/>
        <v>0</v>
      </c>
      <c r="N29" s="49"/>
      <c r="O29" s="35"/>
      <c r="P29" s="38"/>
      <c r="Q29" s="41"/>
      <c r="R29" s="22"/>
    </row>
    <row r="30" spans="1:18">
      <c r="F30" s="16"/>
      <c r="L30" s="17"/>
      <c r="M30" s="17"/>
    </row>
  </sheetData>
  <mergeCells count="55">
    <mergeCell ref="A1:R3"/>
    <mergeCell ref="A5:A11"/>
    <mergeCell ref="B5:B11"/>
    <mergeCell ref="D5:D6"/>
    <mergeCell ref="O5:O6"/>
    <mergeCell ref="P5:P6"/>
    <mergeCell ref="Q5:Q6"/>
    <mergeCell ref="R5:R11"/>
    <mergeCell ref="D7:D8"/>
    <mergeCell ref="C5:C7"/>
    <mergeCell ref="C9:C11"/>
    <mergeCell ref="O7:O8"/>
    <mergeCell ref="P7:P8"/>
    <mergeCell ref="Q7:Q8"/>
    <mergeCell ref="D9:D10"/>
    <mergeCell ref="O9:O11"/>
    <mergeCell ref="P9:P11"/>
    <mergeCell ref="Q9:Q11"/>
    <mergeCell ref="N10:N11"/>
    <mergeCell ref="A14:A20"/>
    <mergeCell ref="B14:B20"/>
    <mergeCell ref="D14:D15"/>
    <mergeCell ref="O14:O15"/>
    <mergeCell ref="N19:N20"/>
    <mergeCell ref="C14:C16"/>
    <mergeCell ref="C18:C20"/>
    <mergeCell ref="Q14:Q15"/>
    <mergeCell ref="R14:R20"/>
    <mergeCell ref="D16:D17"/>
    <mergeCell ref="O16:O17"/>
    <mergeCell ref="P16:P17"/>
    <mergeCell ref="Q16:Q17"/>
    <mergeCell ref="D18:D19"/>
    <mergeCell ref="O18:O20"/>
    <mergeCell ref="P18:P20"/>
    <mergeCell ref="Q18:Q20"/>
    <mergeCell ref="P14:P15"/>
    <mergeCell ref="A23:A29"/>
    <mergeCell ref="B23:B29"/>
    <mergeCell ref="D23:D24"/>
    <mergeCell ref="O23:O24"/>
    <mergeCell ref="N28:N29"/>
    <mergeCell ref="C23:C25"/>
    <mergeCell ref="C27:C29"/>
    <mergeCell ref="Q23:Q24"/>
    <mergeCell ref="R23:R29"/>
    <mergeCell ref="D25:D26"/>
    <mergeCell ref="O25:O26"/>
    <mergeCell ref="P25:P26"/>
    <mergeCell ref="Q25:Q26"/>
    <mergeCell ref="D27:D28"/>
    <mergeCell ref="O27:O29"/>
    <mergeCell ref="P27:P29"/>
    <mergeCell ref="Q27:Q29"/>
    <mergeCell ref="P23:P24"/>
  </mergeCells>
  <pageMargins left="0.25" right="0.25" top="0.75" bottom="0.75" header="0.3" footer="0.3"/>
  <pageSetup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siddique traders</dc:creator>
  <cp:lastModifiedBy>TECHNO ZONE</cp:lastModifiedBy>
  <cp:lastPrinted>2026-03-23T15:21:31Z</cp:lastPrinted>
  <dcterms:created xsi:type="dcterms:W3CDTF">2025-11-24T17:35:24Z</dcterms:created>
  <dcterms:modified xsi:type="dcterms:W3CDTF">2026-03-23T15:23:50Z</dcterms:modified>
</cp:coreProperties>
</file>